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SingleCells2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ulatory Reporting\SEEPER\Workflow\03_Reporting\01_External\01_EFG International\202606\LER\FINMA submission\"/>
    </mc:Choice>
  </mc:AlternateContent>
  <xr:revisionPtr revIDLastSave="0" documentId="8_{D512376A-F179-4D06-8BAB-B967643D14EE}" xr6:coauthVersionLast="47" xr6:coauthVersionMax="47" xr10:uidLastSave="{00000000-0000-0000-0000-000000000000}"/>
  <bookViews>
    <workbookView xWindow="-120" yWindow="-120" windowWidth="29040" windowHeight="15840" xr2:uid="{31AFCF6D-2AAD-4DD1-9DF9-7CF5C3B5FE79}"/>
  </bookViews>
  <sheets>
    <sheet name="Delivery Note" sheetId="1" r:id="rId1"/>
    <sheet name="LER_01" sheetId="4" r:id="rId2"/>
    <sheet name="LER_02" sheetId="5" r:id="rId3"/>
    <sheet name="Values" sheetId="6" r:id="rId4"/>
    <sheet name="Mapping" sheetId="7" r:id="rId5"/>
  </sheets>
  <externalReferences>
    <externalReference r:id="rId6"/>
  </externalReferences>
  <definedNames>
    <definedName name="_xlnm._FilterDatabase" localSheetId="4" hidden="1">Mapping!$A$3:$C$3</definedName>
    <definedName name="Counterparty_type">Values!$B$8:$B$32</definedName>
    <definedName name="Country">Values!$B$128:$B$388</definedName>
    <definedName name="Enum_Counterparty">[1]Values!$B$8:$B$32</definedName>
    <definedName name="Ind_CP_GCP">Values!$F$8:$F$12</definedName>
    <definedName name="Konsi_Errors">LER_02!$D$5</definedName>
    <definedName name="Konsi_Errors_01">LER_01!$D$9</definedName>
    <definedName name="Konsi_Warnings">LER_02!$D$6</definedName>
    <definedName name="NOGA">[1]Values!$B$36:$B$123</definedName>
    <definedName name="NOGA_Codes">Values!$B$36:$B$123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0" i="5" l="1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9" i="5"/>
  <c r="AJ19" i="5"/>
  <c r="AK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126" i="5"/>
  <c r="AK127" i="5"/>
  <c r="AK128" i="5"/>
  <c r="AK129" i="5"/>
  <c r="AK130" i="5"/>
  <c r="AK131" i="5"/>
  <c r="AK132" i="5"/>
  <c r="AK133" i="5"/>
  <c r="AK134" i="5"/>
  <c r="AK135" i="5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K150" i="5"/>
  <c r="AK151" i="5"/>
  <c r="AK152" i="5"/>
  <c r="AK153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B32" i="1" l="1"/>
  <c r="Q2" i="5"/>
  <c r="Q3" i="5"/>
  <c r="Q4" i="5"/>
  <c r="BD25" i="5"/>
  <c r="AS33" i="5"/>
  <c r="BD40" i="5"/>
  <c r="BD41" i="5"/>
  <c r="AS49" i="5"/>
  <c r="BD57" i="5"/>
  <c r="BD65" i="5"/>
  <c r="BD73" i="5"/>
  <c r="AS78" i="5"/>
  <c r="AS81" i="5"/>
  <c r="BD89" i="5"/>
  <c r="BD97" i="5"/>
  <c r="AS105" i="5"/>
  <c r="BD113" i="5"/>
  <c r="AS121" i="5"/>
  <c r="BD129" i="5"/>
  <c r="BD137" i="5"/>
  <c r="BD145" i="5"/>
  <c r="AS153" i="5"/>
  <c r="BD161" i="5"/>
  <c r="AS169" i="5"/>
  <c r="AS36" i="5" l="1"/>
  <c r="AS53" i="5"/>
  <c r="AS73" i="5"/>
  <c r="BD103" i="5"/>
  <c r="AS47" i="5"/>
  <c r="AS52" i="5"/>
  <c r="AS113" i="5"/>
  <c r="BD157" i="5"/>
  <c r="AS117" i="5"/>
  <c r="AS149" i="5"/>
  <c r="BD133" i="5"/>
  <c r="AS109" i="5"/>
  <c r="BD93" i="5"/>
  <c r="AS77" i="5"/>
  <c r="BD53" i="5"/>
  <c r="BD37" i="5"/>
  <c r="BD21" i="5"/>
  <c r="AS148" i="5"/>
  <c r="BD147" i="5"/>
  <c r="BD131" i="5"/>
  <c r="AS123" i="5"/>
  <c r="BD107" i="5"/>
  <c r="BD99" i="5"/>
  <c r="BD91" i="5"/>
  <c r="BD83" i="5"/>
  <c r="AS75" i="5"/>
  <c r="BD67" i="5"/>
  <c r="AS59" i="5"/>
  <c r="AS51" i="5"/>
  <c r="BD43" i="5"/>
  <c r="BD35" i="5"/>
  <c r="BD27" i="5"/>
  <c r="BD19" i="5"/>
  <c r="AS21" i="5"/>
  <c r="BD98" i="5"/>
  <c r="AS74" i="5"/>
  <c r="AS165" i="5"/>
  <c r="AS141" i="5"/>
  <c r="BD125" i="5"/>
  <c r="BD101" i="5"/>
  <c r="BD85" i="5"/>
  <c r="AS69" i="5"/>
  <c r="BD61" i="5"/>
  <c r="AS45" i="5"/>
  <c r="AS29" i="5"/>
  <c r="BD140" i="5"/>
  <c r="AS116" i="5"/>
  <c r="AS163" i="5"/>
  <c r="AS155" i="5"/>
  <c r="AS139" i="5"/>
  <c r="BD115" i="5"/>
  <c r="AS126" i="5"/>
  <c r="AS94" i="5"/>
  <c r="AS54" i="5"/>
  <c r="AS46" i="5"/>
  <c r="AS22" i="5"/>
  <c r="BD159" i="5"/>
  <c r="AS143" i="5"/>
  <c r="BD95" i="5"/>
  <c r="BD31" i="5"/>
  <c r="AS167" i="5"/>
  <c r="AS119" i="5"/>
  <c r="BD71" i="5"/>
  <c r="AS39" i="5"/>
  <c r="AS159" i="5"/>
  <c r="BD111" i="5"/>
  <c r="BD63" i="5"/>
  <c r="BD167" i="5"/>
  <c r="BD127" i="5"/>
  <c r="AS79" i="5"/>
  <c r="AS31" i="5"/>
  <c r="AS164" i="5"/>
  <c r="AS156" i="5"/>
  <c r="BD132" i="5"/>
  <c r="AS124" i="5"/>
  <c r="BD100" i="5"/>
  <c r="AS92" i="5"/>
  <c r="AS84" i="5"/>
  <c r="AS68" i="5"/>
  <c r="AS60" i="5"/>
  <c r="BD36" i="5"/>
  <c r="AS28" i="5"/>
  <c r="AS20" i="5"/>
  <c r="AS151" i="5"/>
  <c r="AS95" i="5"/>
  <c r="BD55" i="5"/>
  <c r="BD135" i="5"/>
  <c r="AS87" i="5"/>
  <c r="AS23" i="5"/>
  <c r="AS133" i="5"/>
  <c r="AS132" i="5"/>
  <c r="BD143" i="5"/>
  <c r="AS103" i="5"/>
  <c r="BD47" i="5"/>
  <c r="BD39" i="5"/>
  <c r="AS135" i="5"/>
  <c r="AS111" i="5"/>
  <c r="AS71" i="5"/>
  <c r="BD151" i="5"/>
  <c r="BD87" i="5"/>
  <c r="BD23" i="5"/>
  <c r="BD166" i="5"/>
  <c r="AS158" i="5"/>
  <c r="AS150" i="5"/>
  <c r="BD142" i="5"/>
  <c r="BD134" i="5"/>
  <c r="BD126" i="5"/>
  <c r="BD118" i="5"/>
  <c r="AS110" i="5"/>
  <c r="BD102" i="5"/>
  <c r="BD94" i="5"/>
  <c r="AS86" i="5"/>
  <c r="BD78" i="5"/>
  <c r="BD70" i="5"/>
  <c r="AS62" i="5"/>
  <c r="BD54" i="5"/>
  <c r="BD46" i="5"/>
  <c r="BD38" i="5"/>
  <c r="AS30" i="5"/>
  <c r="BD22" i="5"/>
  <c r="BD79" i="5"/>
  <c r="AS55" i="5"/>
  <c r="AS127" i="5"/>
  <c r="AS63" i="5"/>
  <c r="BD119" i="5"/>
  <c r="AS161" i="5"/>
  <c r="BD105" i="5"/>
  <c r="AS97" i="5"/>
  <c r="AS57" i="5"/>
  <c r="BD49" i="5"/>
  <c r="AS41" i="5"/>
  <c r="AS25" i="5"/>
  <c r="BD72" i="5"/>
  <c r="AS142" i="5"/>
  <c r="AS102" i="5"/>
  <c r="BD62" i="5"/>
  <c r="BD30" i="5"/>
  <c r="AS118" i="5"/>
  <c r="AS101" i="5"/>
  <c r="AS166" i="5"/>
  <c r="BD158" i="5"/>
  <c r="AS134" i="5"/>
  <c r="AS70" i="5"/>
  <c r="BD150" i="5"/>
  <c r="BD86" i="5"/>
  <c r="BD110" i="5"/>
  <c r="AS129" i="5"/>
  <c r="AS61" i="5"/>
  <c r="AS38" i="5"/>
  <c r="AS145" i="5"/>
  <c r="AS37" i="5"/>
  <c r="BD121" i="5"/>
  <c r="AS89" i="5"/>
  <c r="AS160" i="5"/>
  <c r="BD144" i="5"/>
  <c r="BD120" i="5"/>
  <c r="BD112" i="5"/>
  <c r="AS96" i="5"/>
  <c r="BD80" i="5"/>
  <c r="BD48" i="5"/>
  <c r="BD169" i="5"/>
  <c r="AS137" i="5"/>
  <c r="AS65" i="5"/>
  <c r="BD153" i="5"/>
  <c r="BD33" i="5"/>
  <c r="BD81" i="5"/>
  <c r="BD45" i="5"/>
  <c r="BD77" i="5"/>
  <c r="AS93" i="5"/>
  <c r="AS157" i="5"/>
  <c r="BD69" i="5"/>
  <c r="AS100" i="5"/>
  <c r="BD165" i="5"/>
  <c r="BD68" i="5"/>
  <c r="AS125" i="5"/>
  <c r="BD164" i="5"/>
  <c r="AS85" i="5"/>
  <c r="BD29" i="5"/>
  <c r="AS27" i="5"/>
  <c r="AS19" i="5"/>
  <c r="BD59" i="5"/>
  <c r="BD123" i="5"/>
  <c r="AS83" i="5"/>
  <c r="AS115" i="5"/>
  <c r="BD163" i="5"/>
  <c r="AS147" i="5"/>
  <c r="AS91" i="5"/>
  <c r="AS35" i="5"/>
  <c r="BD139" i="5"/>
  <c r="BD75" i="5"/>
  <c r="BD168" i="5"/>
  <c r="BD160" i="5"/>
  <c r="BD152" i="5"/>
  <c r="AS144" i="5"/>
  <c r="BD136" i="5"/>
  <c r="AS128" i="5"/>
  <c r="AS112" i="5"/>
  <c r="BD104" i="5"/>
  <c r="BD96" i="5"/>
  <c r="BD88" i="5"/>
  <c r="AS80" i="5"/>
  <c r="AS64" i="5"/>
  <c r="BD56" i="5"/>
  <c r="AS48" i="5"/>
  <c r="AS32" i="5"/>
  <c r="BD24" i="5"/>
  <c r="AS67" i="5"/>
  <c r="BD51" i="5"/>
  <c r="AS99" i="5"/>
  <c r="AS43" i="5"/>
  <c r="BD155" i="5"/>
  <c r="AS131" i="5"/>
  <c r="BD149" i="5"/>
  <c r="BD141" i="5"/>
  <c r="BD117" i="5"/>
  <c r="BD109" i="5"/>
  <c r="AS107" i="5"/>
  <c r="BD156" i="5"/>
  <c r="BD148" i="5"/>
  <c r="AS140" i="5"/>
  <c r="BD124" i="5"/>
  <c r="BD116" i="5"/>
  <c r="AS108" i="5"/>
  <c r="BD84" i="5"/>
  <c r="AS76" i="5"/>
  <c r="BD52" i="5"/>
  <c r="AS44" i="5"/>
  <c r="BD28" i="5"/>
  <c r="BD20" i="5"/>
  <c r="BD128" i="5"/>
  <c r="BD64" i="5"/>
  <c r="BD162" i="5"/>
  <c r="BD154" i="5"/>
  <c r="BD146" i="5"/>
  <c r="AS138" i="5"/>
  <c r="BD130" i="5"/>
  <c r="BD122" i="5"/>
  <c r="BD114" i="5"/>
  <c r="AS106" i="5"/>
  <c r="BD90" i="5"/>
  <c r="BD82" i="5"/>
  <c r="BD66" i="5"/>
  <c r="AS58" i="5"/>
  <c r="BD50" i="5"/>
  <c r="AS42" i="5"/>
  <c r="BD34" i="5"/>
  <c r="AS26" i="5"/>
  <c r="BD32" i="5"/>
  <c r="BD108" i="5"/>
  <c r="BD92" i="5"/>
  <c r="BD76" i="5"/>
  <c r="BD60" i="5"/>
  <c r="BD44" i="5"/>
  <c r="AS130" i="5"/>
  <c r="BD138" i="5"/>
  <c r="BD106" i="5"/>
  <c r="BD74" i="5"/>
  <c r="BD58" i="5"/>
  <c r="BD42" i="5"/>
  <c r="BD26" i="5"/>
  <c r="AS162" i="5"/>
  <c r="AS154" i="5"/>
  <c r="AS146" i="5"/>
  <c r="AS122" i="5"/>
  <c r="AS114" i="5"/>
  <c r="AS98" i="5"/>
  <c r="AS90" i="5"/>
  <c r="AS82" i="5"/>
  <c r="AS66" i="5"/>
  <c r="AS50" i="5"/>
  <c r="AS34" i="5"/>
  <c r="AS136" i="5"/>
  <c r="AS104" i="5"/>
  <c r="AS168" i="5"/>
  <c r="AS152" i="5"/>
  <c r="AS120" i="5"/>
  <c r="AS88" i="5"/>
  <c r="AS72" i="5"/>
  <c r="AS56" i="5"/>
  <c r="AS40" i="5"/>
  <c r="AS24" i="5"/>
  <c r="B11" i="1" l="1"/>
  <c r="BE20" i="5"/>
  <c r="BE21" i="5"/>
  <c r="BE22" i="5"/>
  <c r="BE23" i="5"/>
  <c r="BE24" i="5"/>
  <c r="BE25" i="5"/>
  <c r="BE26" i="5"/>
  <c r="BE27" i="5"/>
  <c r="BE28" i="5"/>
  <c r="BE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2" i="5"/>
  <c r="BE53" i="5"/>
  <c r="BE54" i="5"/>
  <c r="BE55" i="5"/>
  <c r="BE56" i="5"/>
  <c r="BE57" i="5"/>
  <c r="BE58" i="5"/>
  <c r="BE59" i="5"/>
  <c r="BE60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74" i="5"/>
  <c r="BE75" i="5"/>
  <c r="BE76" i="5"/>
  <c r="BE77" i="5"/>
  <c r="BE78" i="5"/>
  <c r="BE79" i="5"/>
  <c r="BE80" i="5"/>
  <c r="BE81" i="5"/>
  <c r="BE82" i="5"/>
  <c r="BE83" i="5"/>
  <c r="BE84" i="5"/>
  <c r="BE85" i="5"/>
  <c r="BE86" i="5"/>
  <c r="BE87" i="5"/>
  <c r="BE88" i="5"/>
  <c r="BE89" i="5"/>
  <c r="BE90" i="5"/>
  <c r="BE91" i="5"/>
  <c r="BE92" i="5"/>
  <c r="BE93" i="5"/>
  <c r="BE94" i="5"/>
  <c r="BE95" i="5"/>
  <c r="BE96" i="5"/>
  <c r="BE97" i="5"/>
  <c r="BE98" i="5"/>
  <c r="BE99" i="5"/>
  <c r="BE100" i="5"/>
  <c r="BE101" i="5"/>
  <c r="BE102" i="5"/>
  <c r="BE103" i="5"/>
  <c r="BE104" i="5"/>
  <c r="BE105" i="5"/>
  <c r="BE106" i="5"/>
  <c r="BE107" i="5"/>
  <c r="BE108" i="5"/>
  <c r="BE109" i="5"/>
  <c r="BE110" i="5"/>
  <c r="BE111" i="5"/>
  <c r="BE112" i="5"/>
  <c r="BE113" i="5"/>
  <c r="BE114" i="5"/>
  <c r="BE115" i="5"/>
  <c r="BE116" i="5"/>
  <c r="BE117" i="5"/>
  <c r="BE118" i="5"/>
  <c r="BE119" i="5"/>
  <c r="BE120" i="5"/>
  <c r="BE121" i="5"/>
  <c r="BE122" i="5"/>
  <c r="BE123" i="5"/>
  <c r="BE124" i="5"/>
  <c r="BE125" i="5"/>
  <c r="BE126" i="5"/>
  <c r="BE127" i="5"/>
  <c r="BE128" i="5"/>
  <c r="BE129" i="5"/>
  <c r="BE130" i="5"/>
  <c r="BE131" i="5"/>
  <c r="BE132" i="5"/>
  <c r="BE133" i="5"/>
  <c r="BE134" i="5"/>
  <c r="BE135" i="5"/>
  <c r="BE136" i="5"/>
  <c r="BE137" i="5"/>
  <c r="BE138" i="5"/>
  <c r="BE139" i="5"/>
  <c r="BE140" i="5"/>
  <c r="BE141" i="5"/>
  <c r="BE142" i="5"/>
  <c r="BE143" i="5"/>
  <c r="BE144" i="5"/>
  <c r="BE145" i="5"/>
  <c r="BE146" i="5"/>
  <c r="BE147" i="5"/>
  <c r="BE148" i="5"/>
  <c r="BE149" i="5"/>
  <c r="BE150" i="5"/>
  <c r="BE151" i="5"/>
  <c r="BE152" i="5"/>
  <c r="BE153" i="5"/>
  <c r="BE154" i="5"/>
  <c r="BE155" i="5"/>
  <c r="BE156" i="5"/>
  <c r="BE157" i="5"/>
  <c r="BE158" i="5"/>
  <c r="BE159" i="5"/>
  <c r="BE160" i="5"/>
  <c r="BE161" i="5"/>
  <c r="BE162" i="5"/>
  <c r="BE163" i="5"/>
  <c r="BE164" i="5"/>
  <c r="BE165" i="5"/>
  <c r="BE166" i="5"/>
  <c r="BE167" i="5"/>
  <c r="BE168" i="5"/>
  <c r="BE169" i="5"/>
  <c r="BE19" i="5"/>
  <c r="BC20" i="5"/>
  <c r="BC21" i="5"/>
  <c r="BC22" i="5"/>
  <c r="BC23" i="5"/>
  <c r="BC24" i="5"/>
  <c r="BC25" i="5"/>
  <c r="BC26" i="5"/>
  <c r="BC27" i="5"/>
  <c r="BC28" i="5"/>
  <c r="BC29" i="5"/>
  <c r="BC30" i="5"/>
  <c r="BC31" i="5"/>
  <c r="BC32" i="5"/>
  <c r="BC33" i="5"/>
  <c r="BC34" i="5"/>
  <c r="BC35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52" i="5"/>
  <c r="BC53" i="5"/>
  <c r="BC54" i="5"/>
  <c r="BC55" i="5"/>
  <c r="BC56" i="5"/>
  <c r="BC57" i="5"/>
  <c r="BC58" i="5"/>
  <c r="BC59" i="5"/>
  <c r="BC60" i="5"/>
  <c r="BC61" i="5"/>
  <c r="BC62" i="5"/>
  <c r="BC63" i="5"/>
  <c r="BC64" i="5"/>
  <c r="BC65" i="5"/>
  <c r="BC66" i="5"/>
  <c r="BC67" i="5"/>
  <c r="BC68" i="5"/>
  <c r="BC69" i="5"/>
  <c r="BC70" i="5"/>
  <c r="BC71" i="5"/>
  <c r="BC72" i="5"/>
  <c r="BC73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96" i="5"/>
  <c r="BC97" i="5"/>
  <c r="BC98" i="5"/>
  <c r="BC99" i="5"/>
  <c r="BC100" i="5"/>
  <c r="BC101" i="5"/>
  <c r="BC102" i="5"/>
  <c r="BC103" i="5"/>
  <c r="BC104" i="5"/>
  <c r="BC105" i="5"/>
  <c r="BC106" i="5"/>
  <c r="BC107" i="5"/>
  <c r="BC108" i="5"/>
  <c r="BC109" i="5"/>
  <c r="BC110" i="5"/>
  <c r="BC111" i="5"/>
  <c r="BC112" i="5"/>
  <c r="BC113" i="5"/>
  <c r="BC114" i="5"/>
  <c r="BC115" i="5"/>
  <c r="BC116" i="5"/>
  <c r="BC117" i="5"/>
  <c r="BC118" i="5"/>
  <c r="BC119" i="5"/>
  <c r="BC120" i="5"/>
  <c r="BC121" i="5"/>
  <c r="BC122" i="5"/>
  <c r="BC123" i="5"/>
  <c r="BC124" i="5"/>
  <c r="BC125" i="5"/>
  <c r="BC126" i="5"/>
  <c r="BC127" i="5"/>
  <c r="BC128" i="5"/>
  <c r="BC129" i="5"/>
  <c r="BC130" i="5"/>
  <c r="BC131" i="5"/>
  <c r="BC132" i="5"/>
  <c r="BC133" i="5"/>
  <c r="BC134" i="5"/>
  <c r="BC135" i="5"/>
  <c r="BC136" i="5"/>
  <c r="BC137" i="5"/>
  <c r="BC138" i="5"/>
  <c r="BC139" i="5"/>
  <c r="BC140" i="5"/>
  <c r="BC141" i="5"/>
  <c r="BC142" i="5"/>
  <c r="BC143" i="5"/>
  <c r="BC144" i="5"/>
  <c r="BC145" i="5"/>
  <c r="BC146" i="5"/>
  <c r="BC147" i="5"/>
  <c r="BC148" i="5"/>
  <c r="BC149" i="5"/>
  <c r="BC150" i="5"/>
  <c r="BC151" i="5"/>
  <c r="BC152" i="5"/>
  <c r="BC153" i="5"/>
  <c r="BC154" i="5"/>
  <c r="BC155" i="5"/>
  <c r="BC156" i="5"/>
  <c r="BC157" i="5"/>
  <c r="BC158" i="5"/>
  <c r="BC159" i="5"/>
  <c r="BC160" i="5"/>
  <c r="BC161" i="5"/>
  <c r="BC162" i="5"/>
  <c r="BC163" i="5"/>
  <c r="BC164" i="5"/>
  <c r="BC165" i="5"/>
  <c r="BC166" i="5"/>
  <c r="BC167" i="5"/>
  <c r="BC168" i="5"/>
  <c r="BC169" i="5"/>
  <c r="BC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BB53" i="5"/>
  <c r="BB54" i="5"/>
  <c r="BB55" i="5"/>
  <c r="BB56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22" i="5"/>
  <c r="BB123" i="5"/>
  <c r="BB124" i="5"/>
  <c r="BB125" i="5"/>
  <c r="BB126" i="5"/>
  <c r="BB127" i="5"/>
  <c r="BB128" i="5"/>
  <c r="BB129" i="5"/>
  <c r="BB130" i="5"/>
  <c r="BB131" i="5"/>
  <c r="BB132" i="5"/>
  <c r="BB133" i="5"/>
  <c r="BB134" i="5"/>
  <c r="BB135" i="5"/>
  <c r="BB136" i="5"/>
  <c r="BB137" i="5"/>
  <c r="BB138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109" i="5"/>
  <c r="AZ110" i="5"/>
  <c r="AZ111" i="5"/>
  <c r="AZ112" i="5"/>
  <c r="AZ113" i="5"/>
  <c r="AZ114" i="5"/>
  <c r="AZ115" i="5"/>
  <c r="AZ116" i="5"/>
  <c r="AZ117" i="5"/>
  <c r="AZ118" i="5"/>
  <c r="AZ119" i="5"/>
  <c r="AZ120" i="5"/>
  <c r="AZ121" i="5"/>
  <c r="AZ122" i="5"/>
  <c r="AZ123" i="5"/>
  <c r="AZ124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7" i="5"/>
  <c r="AZ138" i="5"/>
  <c r="AZ139" i="5"/>
  <c r="AZ140" i="5"/>
  <c r="AZ141" i="5"/>
  <c r="AZ142" i="5"/>
  <c r="AZ143" i="5"/>
  <c r="AZ144" i="5"/>
  <c r="AZ145" i="5"/>
  <c r="AZ146" i="5"/>
  <c r="AZ147" i="5"/>
  <c r="AZ148" i="5"/>
  <c r="AZ149" i="5"/>
  <c r="AZ150" i="5"/>
  <c r="AZ151" i="5"/>
  <c r="AZ152" i="5"/>
  <c r="AZ153" i="5"/>
  <c r="AZ154" i="5"/>
  <c r="AZ155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1" i="5"/>
  <c r="AX92" i="5"/>
  <c r="AX93" i="5"/>
  <c r="AX94" i="5"/>
  <c r="AX95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8" i="5"/>
  <c r="AX139" i="5"/>
  <c r="AX140" i="5"/>
  <c r="AX141" i="5"/>
  <c r="AX142" i="5"/>
  <c r="AX143" i="5"/>
  <c r="AX144" i="5"/>
  <c r="AX145" i="5"/>
  <c r="AX146" i="5"/>
  <c r="AX147" i="5"/>
  <c r="AX148" i="5"/>
  <c r="AX149" i="5"/>
  <c r="AX150" i="5"/>
  <c r="AX151" i="5"/>
  <c r="AX152" i="5"/>
  <c r="AX153" i="5"/>
  <c r="AX154" i="5"/>
  <c r="AX155" i="5"/>
  <c r="AX156" i="5"/>
  <c r="AX157" i="5"/>
  <c r="AX158" i="5"/>
  <c r="AX159" i="5"/>
  <c r="AX160" i="5"/>
  <c r="AX161" i="5"/>
  <c r="AX162" i="5"/>
  <c r="AX163" i="5"/>
  <c r="AX164" i="5"/>
  <c r="AX165" i="5"/>
  <c r="AX166" i="5"/>
  <c r="AX167" i="5"/>
  <c r="AX168" i="5"/>
  <c r="AX169" i="5"/>
  <c r="AX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31" i="5"/>
  <c r="AW132" i="5"/>
  <c r="AW133" i="5"/>
  <c r="AW134" i="5"/>
  <c r="AW135" i="5"/>
  <c r="AW136" i="5"/>
  <c r="AW137" i="5"/>
  <c r="AW138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53" i="5"/>
  <c r="AW154" i="5"/>
  <c r="AW155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16" i="5"/>
  <c r="AT117" i="5"/>
  <c r="AT118" i="5"/>
  <c r="AT119" i="5"/>
  <c r="AT120" i="5"/>
  <c r="AT121" i="5"/>
  <c r="AT122" i="5"/>
  <c r="AT123" i="5"/>
  <c r="AT124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7" i="5"/>
  <c r="AT138" i="5"/>
  <c r="AT139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64" i="5"/>
  <c r="AT165" i="5"/>
  <c r="AT166" i="5"/>
  <c r="AT167" i="5"/>
  <c r="AT168" i="5"/>
  <c r="AT169" i="5"/>
  <c r="AT19" i="5"/>
  <c r="P4" i="4" l="1"/>
  <c r="P3" i="4"/>
  <c r="P2" i="4"/>
  <c r="X27" i="4"/>
  <c r="X26" i="4"/>
  <c r="W27" i="4"/>
  <c r="W26" i="4"/>
  <c r="V27" i="4"/>
  <c r="V26" i="4"/>
  <c r="U27" i="4"/>
  <c r="U26" i="4"/>
  <c r="T27" i="4"/>
  <c r="T26" i="4"/>
  <c r="R26" i="4"/>
  <c r="D9" i="4" l="1"/>
  <c r="D23" i="1" s="1"/>
  <c r="D5" i="5"/>
  <c r="D24" i="1" s="1"/>
  <c r="D26" i="1" s="1"/>
  <c r="D6" i="5"/>
  <c r="E24" i="1" s="1"/>
  <c r="E26" i="1" s="1"/>
</calcChain>
</file>

<file path=xl/sharedStrings.xml><?xml version="1.0" encoding="utf-8"?>
<sst xmlns="http://schemas.openxmlformats.org/spreadsheetml/2006/main" count="873" uniqueCount="695">
  <si>
    <t>Survey</t>
  </si>
  <si>
    <t>LER</t>
  </si>
  <si>
    <t>Workbook</t>
  </si>
  <si>
    <t>Version</t>
  </si>
  <si>
    <t>FINMA code</t>
  </si>
  <si>
    <t>Reporting date</t>
  </si>
  <si>
    <t>Reporting level</t>
  </si>
  <si>
    <t>Large Exposure Reporting (LER)</t>
  </si>
  <si>
    <t>Please complete</t>
  </si>
  <si>
    <t>Company</t>
  </si>
  <si>
    <t>Department</t>
  </si>
  <si>
    <t>Address</t>
  </si>
  <si>
    <t>Post code/town</t>
  </si>
  <si>
    <t>Contact person</t>
  </si>
  <si>
    <t>Telephone</t>
  </si>
  <si>
    <t>E-mail</t>
  </si>
  <si>
    <t>Validation</t>
  </si>
  <si>
    <t>Errors</t>
  </si>
  <si>
    <t>Warnings</t>
  </si>
  <si>
    <t>LER_01</t>
  </si>
  <si>
    <t>LER_02</t>
  </si>
  <si>
    <t>Total</t>
  </si>
  <si>
    <t>Link EHP Erhebungs- und Eingabeformulare</t>
  </si>
  <si>
    <t>Technical questions on EHP:</t>
  </si>
  <si>
    <t>Link EHP Support</t>
  </si>
  <si>
    <t>Swiss Financial Market Supervisory Authority FINMA</t>
  </si>
  <si>
    <t>www.finma.ch</t>
  </si>
  <si>
    <t>Laupenstrasse 27</t>
  </si>
  <si>
    <t>CH-3003 Bern</t>
  </si>
  <si>
    <t>Technical questions on survey forms:</t>
  </si>
  <si>
    <t>Tel: +41 31 327 91 00</t>
  </si>
  <si>
    <t>Subject-matter related questions on this survey:</t>
  </si>
  <si>
    <r>
      <rPr>
        <b/>
        <sz val="10"/>
        <color theme="1"/>
        <rFont val="Arial"/>
        <family val="2"/>
      </rPr>
      <t>Explanations:</t>
    </r>
    <r>
      <rPr>
        <sz val="10"/>
        <color theme="1"/>
        <rFont val="Arial"/>
        <family val="2"/>
      </rPr>
      <t xml:space="preserve"> Please read the explanations required for this survey at: </t>
    </r>
  </si>
  <si>
    <r>
      <rPr>
        <b/>
        <sz val="10"/>
        <color theme="1"/>
        <rFont val="Arial"/>
        <family val="2"/>
      </rPr>
      <t>Comments:</t>
    </r>
    <r>
      <rPr>
        <sz val="10"/>
        <color theme="1"/>
        <rFont val="Arial"/>
        <family val="2"/>
      </rPr>
      <t xml:space="preserve"> Please use a separate document for your comments to this delivery and include</t>
    </r>
  </si>
  <si>
    <t xml:space="preserve">ehp_banken@finma.ch </t>
  </si>
  <si>
    <t>number of errors</t>
  </si>
  <si>
    <t>Bank category</t>
  </si>
  <si>
    <t>Amounts in 1'000 CHF</t>
  </si>
  <si>
    <t>Form</t>
  </si>
  <si>
    <t>Capital base</t>
  </si>
  <si>
    <t>or</t>
  </si>
  <si>
    <t>Current period</t>
  </si>
  <si>
    <t>Previous period</t>
  </si>
  <si>
    <t>K</t>
  </si>
  <si>
    <t>L</t>
  </si>
  <si>
    <t>M</t>
  </si>
  <si>
    <t>Tier 1 capital</t>
  </si>
  <si>
    <t>of which CET1 capital</t>
  </si>
  <si>
    <t>Hidden reserves</t>
  </si>
  <si>
    <t>LER_01_01</t>
  </si>
  <si>
    <t>LER_01_02</t>
  </si>
  <si>
    <t>LER_01_03</t>
  </si>
  <si>
    <t>LER_01_04</t>
  </si>
  <si>
    <t>LER_01_05</t>
  </si>
  <si>
    <t>LER_01_06</t>
  </si>
  <si>
    <t>Hidden reserves may only be reported if tier 1 capital is reported</t>
  </si>
  <si>
    <t>Hidden reserves &gt; 0 for banks in categories 4 or 5</t>
  </si>
  <si>
    <t>One and only one Tier 1 capital may be reported</t>
  </si>
  <si>
    <t>Tier 1 capital must be &gt;= CET1 capital</t>
  </si>
  <si>
    <t>CET1 &gt; 0 must be reported</t>
  </si>
  <si>
    <t>number of warnings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</si>
  <si>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</si>
  <si>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</si>
  <si>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</si>
  <si>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</si>
  <si>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</si>
  <si>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</si>
  <si>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</si>
  <si>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</si>
  <si>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</si>
  <si>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</si>
  <si>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</si>
  <si>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</si>
  <si>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</si>
  <si>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</si>
  <si>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</si>
  <si>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</si>
  <si>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</si>
  <si>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</si>
  <si>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</si>
  <si>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</si>
  <si>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</si>
  <si>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</si>
  <si>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</si>
  <si>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</si>
  <si>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</si>
  <si>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</si>
  <si>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</si>
  <si>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</si>
  <si>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</si>
  <si>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LER_02_01</t>
  </si>
  <si>
    <t>LER_02_02</t>
  </si>
  <si>
    <t>LER_02_03</t>
  </si>
  <si>
    <t>LER_02_04</t>
  </si>
  <si>
    <t>LER_02_05</t>
  </si>
  <si>
    <t>LER_02_06</t>
  </si>
  <si>
    <t>LER_02_07</t>
  </si>
  <si>
    <t>LER_02_08</t>
  </si>
  <si>
    <t>LER_02_09</t>
  </si>
  <si>
    <t>LER_02_10</t>
  </si>
  <si>
    <t>LER_02_11</t>
  </si>
  <si>
    <t>LER_02_12</t>
  </si>
  <si>
    <t>LER_02_13</t>
  </si>
  <si>
    <t>Mandatory fields</t>
  </si>
  <si>
    <t>LEI is a 20-character ID</t>
  </si>
  <si>
    <t xml:space="preserve">UID: is a CHE plus 9 digits </t>
  </si>
  <si>
    <t>Counterparty ID is unique</t>
  </si>
  <si>
    <t>Total adjusted position (AI) is greater than or equal to total adjusted position after excluding indirect positions (AN)</t>
  </si>
  <si>
    <t>Specific provisions/allowances have been reported as positive values</t>
  </si>
  <si>
    <t>Column AD-AG are reported as negativ values only</t>
  </si>
  <si>
    <t>G0T, G1T &gt;= 0 must be present and positve</t>
  </si>
  <si>
    <t xml:space="preserve">Exact counterpaty type must be specified for counterparty codes OTH and PDT </t>
  </si>
  <si>
    <t>Counterparty 
name</t>
  </si>
  <si>
    <t>Country of domicile
ISO3-Code
(e.g. CHE)</t>
  </si>
  <si>
    <t>Legal Entity Identifier (LEI)</t>
  </si>
  <si>
    <t>Enterprise Identification Number (UID)</t>
  </si>
  <si>
    <r>
      <t xml:space="preserve">Counterparty ID
</t>
    </r>
    <r>
      <rPr>
        <sz val="10"/>
        <color rgb="FF0070C0"/>
        <rFont val="Arial"/>
        <family val="2"/>
      </rPr>
      <t>following special characters excluded:
&lt; &gt; &amp; ' /</t>
    </r>
  </si>
  <si>
    <t>Counterparty type</t>
  </si>
  <si>
    <t>Affiliated party</t>
  </si>
  <si>
    <t>NOGA code
Format '00'
Range 01..99</t>
  </si>
  <si>
    <t>Individual counterparty or group of connected counterparties</t>
  </si>
  <si>
    <t>Specific provisions / allowances</t>
  </si>
  <si>
    <t>Direct positions after credit conversion factors and net of specific provisions / allowances</t>
  </si>
  <si>
    <t>Indirect positions from credit risk mitigation</t>
  </si>
  <si>
    <t>Position before credit risk mitigation and before weighting, net of specific provisions / allowances</t>
  </si>
  <si>
    <t>Total position (after weighting)</t>
  </si>
  <si>
    <t>Total adjusted position (after weighting)</t>
  </si>
  <si>
    <t>Total adjusted position (after weighting) 
as % of capital base (or CET1 in case of G0B/G0T)
(automatically calculated)</t>
  </si>
  <si>
    <t>Upper limit as % of capital base
(automatically calculated)</t>
  </si>
  <si>
    <t>Exceptional upper limit as % of capital base
Note: Only to be filled in by banks subject to bank-specific temporary relief / tightening.</t>
  </si>
  <si>
    <t>Pro memoria</t>
  </si>
  <si>
    <t>Comment</t>
  </si>
  <si>
    <t>Off B/S positions</t>
  </si>
  <si>
    <t>Credit equivalent of derivatives</t>
  </si>
  <si>
    <t>Credit equivalent of SFTs</t>
  </si>
  <si>
    <t>Mortgages</t>
  </si>
  <si>
    <t>Underlying and securities</t>
  </si>
  <si>
    <t>Lending / Other positions</t>
  </si>
  <si>
    <t>Financial collateral</t>
  </si>
  <si>
    <t>Guarantees 
and credit derivatives</t>
  </si>
  <si>
    <t>Netting</t>
  </si>
  <si>
    <t>Guarantees</t>
  </si>
  <si>
    <t>Total adjusted position (after weighting) if CCF=100% applied to all off B/S positions</t>
  </si>
  <si>
    <t>Total adjusted position (after weighting) excluding indirect positions from financial collateral within the 3-month grace period</t>
  </si>
  <si>
    <t>End of 3-month grace period</t>
  </si>
  <si>
    <t>SOV</t>
  </si>
  <si>
    <t>Sovereign</t>
  </si>
  <si>
    <t>IND</t>
  </si>
  <si>
    <t>Individual exposures (incl. exposures to members of a consortium)</t>
  </si>
  <si>
    <t>SOB</t>
  </si>
  <si>
    <t>Central bank</t>
  </si>
  <si>
    <t>CD</t>
  </si>
  <si>
    <t>Group of connected counterparties: Control dependance</t>
  </si>
  <si>
    <t>SOO</t>
  </si>
  <si>
    <t>Supranational organisations</t>
  </si>
  <si>
    <t>ED</t>
  </si>
  <si>
    <t xml:space="preserve">Group of connected counterparties: Economic dependence </t>
  </si>
  <si>
    <t>CAN</t>
  </si>
  <si>
    <t>Swiss Canton</t>
  </si>
  <si>
    <t>CED</t>
  </si>
  <si>
    <t>Group of connected counterparties:  Control and economic dependance</t>
  </si>
  <si>
    <t>MUN</t>
  </si>
  <si>
    <t>Swiss Municipality</t>
  </si>
  <si>
    <t>CON</t>
  </si>
  <si>
    <t>Group of connected counterparties: Consortium</t>
  </si>
  <si>
    <t>FPS</t>
  </si>
  <si>
    <t>Foreign PSE</t>
  </si>
  <si>
    <t>BSS</t>
  </si>
  <si>
    <t>Swiss SIB</t>
  </si>
  <si>
    <t>BFS</t>
  </si>
  <si>
    <t>Foreign G-SIB</t>
  </si>
  <si>
    <t>BSN</t>
  </si>
  <si>
    <t>Swiss bank (no SIB)</t>
  </si>
  <si>
    <t>BFN</t>
  </si>
  <si>
    <t>Foreign bank (no G-SIB)</t>
  </si>
  <si>
    <t>CBS</t>
  </si>
  <si>
    <t>Swiss Pfandbrief Institutes</t>
  </si>
  <si>
    <t>CPQ</t>
  </si>
  <si>
    <t>Qualifying CCP</t>
  </si>
  <si>
    <t>CPN</t>
  </si>
  <si>
    <t>Non-qualifying CCP</t>
  </si>
  <si>
    <t>FEO</t>
  </si>
  <si>
    <t>Other financial entity</t>
  </si>
  <si>
    <t>INV</t>
  </si>
  <si>
    <t>Investment structure</t>
  </si>
  <si>
    <t>UNC</t>
  </si>
  <si>
    <t>Unknown client</t>
  </si>
  <si>
    <t>NFC</t>
  </si>
  <si>
    <t>Non-financial corporate</t>
  </si>
  <si>
    <t>PDT</t>
  </si>
  <si>
    <t>Personal data</t>
  </si>
  <si>
    <t>PRI</t>
  </si>
  <si>
    <t>Private person</t>
  </si>
  <si>
    <t>CY2</t>
  </si>
  <si>
    <t>Crypto assets Group 2</t>
  </si>
  <si>
    <t>OTH</t>
  </si>
  <si>
    <t>Other</t>
  </si>
  <si>
    <t>G0T</t>
  </si>
  <si>
    <t>Total G0 group business</t>
  </si>
  <si>
    <t>G0B</t>
  </si>
  <si>
    <t>G0 group business</t>
  </si>
  <si>
    <t>G1T</t>
  </si>
  <si>
    <t>Total G1 group business</t>
  </si>
  <si>
    <t>G1B</t>
  </si>
  <si>
    <t>G1 group business</t>
  </si>
  <si>
    <t>NOGA-Codes</t>
  </si>
  <si>
    <t>01</t>
  </si>
  <si>
    <t>02</t>
  </si>
  <si>
    <t>03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</si>
  <si>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</si>
  <si>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</si>
  <si>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</si>
  <si>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</si>
  <si>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</si>
  <si>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</si>
  <si>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</si>
  <si>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</si>
  <si>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</si>
  <si>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</si>
  <si>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</si>
  <si>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</si>
  <si>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</si>
  <si>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</si>
  <si>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</si>
  <si>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</si>
  <si>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</si>
  <si>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</si>
  <si>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</si>
  <si>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</si>
  <si>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</si>
  <si>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</si>
  <si>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</si>
  <si>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</si>
  <si>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</si>
  <si>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</si>
  <si>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</si>
  <si>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</si>
  <si>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</si>
  <si>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</si>
  <si>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</si>
  <si>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</si>
  <si>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</si>
  <si>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</si>
  <si>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</si>
  <si>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</si>
  <si>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</si>
  <si>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</si>
  <si>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</si>
  <si>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</si>
  <si>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</si>
  <si>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</si>
  <si>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</si>
  <si>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</si>
  <si>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</si>
  <si>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</si>
  <si>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</si>
  <si>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</si>
  <si>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</si>
  <si>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</si>
  <si>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</si>
  <si>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</si>
  <si>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</si>
  <si>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</si>
  <si>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</si>
  <si>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</si>
  <si>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</si>
  <si>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</si>
  <si>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</si>
  <si>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</si>
  <si>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</si>
  <si>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</si>
  <si>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</si>
  <si>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</si>
  <si>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</si>
  <si>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</si>
  <si>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</si>
  <si>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</si>
  <si>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</si>
  <si>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</si>
  <si>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</si>
  <si>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</si>
  <si>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</si>
  <si>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</si>
  <si>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</si>
  <si>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</si>
  <si>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</si>
  <si>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</si>
  <si>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</si>
  <si>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</si>
  <si>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</si>
  <si>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</si>
  <si>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</si>
  <si>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</si>
  <si>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</si>
  <si>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Country</t>
  </si>
  <si>
    <t>CHE</t>
  </si>
  <si>
    <t>LIE</t>
  </si>
  <si>
    <t>ABW</t>
  </si>
  <si>
    <t>AFG</t>
  </si>
  <si>
    <t>AGO</t>
  </si>
  <si>
    <t>AIA</t>
  </si>
  <si>
    <t>ALA</t>
  </si>
  <si>
    <t>ALB</t>
  </si>
  <si>
    <t>AND</t>
  </si>
  <si>
    <t>ARE</t>
  </si>
  <si>
    <t>ARG</t>
  </si>
  <si>
    <t>ARM</t>
  </si>
  <si>
    <t>ASC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</si>
  <si>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</si>
  <si>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</si>
  <si>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</si>
  <si>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</si>
  <si>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</si>
  <si>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</si>
  <si>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</si>
  <si>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</si>
  <si>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</si>
  <si>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</si>
  <si>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</si>
  <si>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</si>
  <si>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</si>
  <si>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</si>
  <si>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</si>
  <si>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</si>
  <si>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</si>
  <si>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</si>
  <si>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</si>
  <si>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</si>
  <si>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</si>
  <si>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</si>
  <si>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</si>
  <si>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</si>
  <si>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</si>
  <si>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</si>
  <si>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</si>
  <si>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</si>
  <si>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</si>
  <si>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CCK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</si>
  <si>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</si>
  <si>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</si>
  <si>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</si>
  <si>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</si>
  <si>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</si>
  <si>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</si>
  <si>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</si>
  <si>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</si>
  <si>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</si>
  <si>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CPT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</si>
  <si>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</si>
  <si>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</si>
  <si>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</si>
  <si>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</si>
  <si>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</si>
  <si>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</si>
  <si>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</si>
  <si>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</si>
  <si>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</si>
  <si>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DGA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</si>
  <si>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</si>
  <si>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</si>
  <si>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</si>
  <si>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</si>
  <si>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</si>
  <si>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</si>
  <si>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</si>
  <si>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</si>
  <si>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</si>
  <si>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</si>
  <si>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</si>
  <si>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</si>
  <si>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</si>
  <si>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</si>
  <si>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</si>
  <si>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</si>
  <si>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</si>
  <si>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</si>
  <si>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FXX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</si>
  <si>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</si>
  <si>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</si>
  <si>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</si>
  <si>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</si>
  <si>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</si>
  <si>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</si>
  <si>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</si>
  <si>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</si>
  <si>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</si>
  <si>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</si>
  <si>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</si>
  <si>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</si>
  <si>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</si>
  <si>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</si>
  <si>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</si>
  <si>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</si>
  <si>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</si>
  <si>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</si>
  <si>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</si>
  <si>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</si>
  <si>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</si>
  <si>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</si>
  <si>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</si>
  <si>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</si>
  <si>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</si>
  <si>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IMN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</si>
  <si>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</si>
  <si>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</si>
  <si>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</si>
  <si>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</si>
  <si>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</si>
  <si>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</si>
  <si>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</si>
  <si>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</si>
  <si>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</si>
  <si>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</si>
  <si>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</si>
  <si>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</si>
  <si>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</si>
  <si>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</si>
  <si>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</si>
  <si>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</si>
  <si>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</si>
  <si>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</si>
  <si>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</si>
  <si>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</si>
  <si>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</si>
  <si>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</si>
  <si>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</si>
  <si>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</si>
  <si>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</si>
  <si>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</si>
  <si>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</si>
  <si>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</si>
  <si>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</si>
  <si>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</si>
  <si>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</si>
  <si>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</si>
  <si>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</si>
  <si>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</si>
  <si>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</si>
  <si>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</si>
  <si>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</si>
  <si>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</si>
  <si>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</si>
  <si>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</si>
  <si>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</si>
  <si>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</si>
  <si>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</si>
  <si>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</si>
  <si>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</si>
  <si>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</si>
  <si>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</si>
  <si>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</si>
  <si>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</si>
  <si>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</si>
  <si>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</si>
  <si>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</si>
  <si>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</si>
  <si>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</si>
  <si>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</si>
  <si>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</si>
  <si>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</si>
  <si>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</si>
  <si>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</si>
  <si>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</si>
  <si>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</si>
  <si>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</si>
  <si>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</si>
  <si>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</si>
  <si>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</si>
  <si>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</si>
  <si>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</si>
  <si>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</si>
  <si>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</si>
  <si>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</si>
  <si>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</si>
  <si>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</si>
  <si>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</si>
  <si>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</si>
  <si>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</si>
  <si>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</si>
  <si>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</si>
  <si>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</si>
  <si>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</si>
  <si>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</si>
  <si>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</si>
  <si>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</si>
  <si>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</si>
  <si>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</si>
  <si>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</si>
  <si>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</si>
  <si>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</si>
  <si>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</si>
  <si>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</si>
  <si>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</si>
  <si>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</si>
  <si>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</si>
  <si>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</si>
  <si>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</si>
  <si>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</si>
  <si>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</si>
  <si>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</si>
  <si>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</si>
  <si>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</si>
  <si>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</si>
  <si>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</si>
  <si>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</si>
  <si>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</si>
  <si>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</si>
  <si>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</si>
  <si>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</si>
  <si>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</si>
  <si>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</si>
  <si>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TAA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</si>
  <si>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</si>
  <si>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</si>
  <si>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</si>
  <si>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</si>
  <si>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</si>
  <si>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</si>
  <si>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</si>
  <si>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</si>
  <si>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</si>
  <si>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</si>
  <si>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</si>
  <si>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</si>
  <si>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</si>
  <si>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</si>
  <si>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</si>
  <si>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</si>
  <si>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</si>
  <si>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</si>
  <si>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</si>
  <si>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</si>
  <si>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</si>
  <si>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</si>
  <si>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</si>
  <si>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</si>
  <si>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</si>
  <si>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</si>
  <si>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</si>
  <si>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</si>
  <si>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</si>
  <si>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</si>
  <si>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XIF</t>
  </si>
  <si>
    <t>XIG</t>
  </si>
  <si>
    <t>XKL</t>
  </si>
  <si>
    <t>XKX</t>
  </si>
  <si>
    <t>XPU</t>
  </si>
  <si>
    <t>XVL</t>
  </si>
  <si>
    <t>XVU</t>
  </si>
  <si>
    <t>YEM</t>
  </si>
  <si>
    <t>ZAF</t>
  </si>
  <si>
    <t>ZMB</t>
  </si>
  <si>
    <t>ZWE</t>
  </si>
  <si>
    <t>Assignment of Excel cells to subject-specific keys</t>
  </si>
  <si>
    <t>Sheet</t>
  </si>
  <si>
    <t>Subject-specific key</t>
  </si>
  <si>
    <t>Excel cell</t>
  </si>
  <si>
    <t>KAT</t>
  </si>
  <si>
    <t>CPB.T1C_CUP</t>
  </si>
  <si>
    <t>CPB.T1C_PRP</t>
  </si>
  <si>
    <t>CPB.CT1_CUP</t>
  </si>
  <si>
    <t>CPB.CT1_PRP</t>
  </si>
  <si>
    <t>CPB.HIR_CUP</t>
  </si>
  <si>
    <t>CPB.HIR_PRP</t>
  </si>
  <si>
    <t>LEI</t>
  </si>
  <si>
    <t>UID</t>
  </si>
  <si>
    <t>ID</t>
  </si>
  <si>
    <t>NOG</t>
  </si>
  <si>
    <t>ICG</t>
  </si>
  <si>
    <t>SPP</t>
  </si>
  <si>
    <t>DIP.OBP</t>
  </si>
  <si>
    <t>DIP.CED</t>
  </si>
  <si>
    <t>DIP.CES</t>
  </si>
  <si>
    <t>DIP.MOR</t>
  </si>
  <si>
    <t>DIP.UAS</t>
  </si>
  <si>
    <t>DIP.OTH</t>
  </si>
  <si>
    <t>INP.FIC</t>
  </si>
  <si>
    <t>INP.GCD</t>
  </si>
  <si>
    <t>PBR</t>
  </si>
  <si>
    <t>CRM.NET</t>
  </si>
  <si>
    <t>CRM.CRD</t>
  </si>
  <si>
    <t>CRM.FIC</t>
  </si>
  <si>
    <t>CRM.GUA</t>
  </si>
  <si>
    <t>TOP</t>
  </si>
  <si>
    <t>TAP</t>
  </si>
  <si>
    <t>TCB</t>
  </si>
  <si>
    <t>UCB</t>
  </si>
  <si>
    <t>ECB</t>
  </si>
  <si>
    <t>PRM.TAP</t>
  </si>
  <si>
    <t>PRM.TAI</t>
  </si>
  <si>
    <t>PRM.EGP</t>
  </si>
  <si>
    <t>D10</t>
  </si>
  <si>
    <t>K26</t>
  </si>
  <si>
    <t>K27</t>
  </si>
  <si>
    <t>L26</t>
  </si>
  <si>
    <t>L27</t>
  </si>
  <si>
    <t>M26</t>
  </si>
  <si>
    <t>M27</t>
  </si>
  <si>
    <t>K19:K169</t>
  </si>
  <si>
    <t>L19:L169</t>
  </si>
  <si>
    <t>M19:M169</t>
  </si>
  <si>
    <t>N19:N169</t>
  </si>
  <si>
    <t>P19:P169</t>
  </si>
  <si>
    <t>Q19:Q169</t>
  </si>
  <si>
    <t>R19:R169</t>
  </si>
  <si>
    <t>S19:S169</t>
  </si>
  <si>
    <t>T19:T169</t>
  </si>
  <si>
    <t>U19:U169</t>
  </si>
  <si>
    <t>V19:V169</t>
  </si>
  <si>
    <t>W19:W169</t>
  </si>
  <si>
    <t>X19:X169</t>
  </si>
  <si>
    <t>Y19:Y169</t>
  </si>
  <si>
    <t>Z19:Z169</t>
  </si>
  <si>
    <t>AA19:AA169</t>
  </si>
  <si>
    <t>AB19:AB169</t>
  </si>
  <si>
    <t>AC19:AC169</t>
  </si>
  <si>
    <t>AD19:AD169</t>
  </si>
  <si>
    <t>AE19:AE169</t>
  </si>
  <si>
    <t>AF19:AF169</t>
  </si>
  <si>
    <t>AG19:AG169</t>
  </si>
  <si>
    <t>AH19:AH169</t>
  </si>
  <si>
    <t>AI19:AI169</t>
  </si>
  <si>
    <t>AJ19:AJ169</t>
  </si>
  <si>
    <t>AK19:AK169</t>
  </si>
  <si>
    <t>Al19:Al169</t>
  </si>
  <si>
    <t>AM19:AM169</t>
  </si>
  <si>
    <t>AN19:AN169</t>
  </si>
  <si>
    <t>AO19:AO169</t>
  </si>
  <si>
    <t>AP19:AP169</t>
  </si>
  <si>
    <t>O19:O169</t>
  </si>
  <si>
    <t>either</t>
  </si>
  <si>
    <r>
      <rPr>
        <sz val="10"/>
        <rFont val="Arial"/>
        <family val="2"/>
      </rPr>
      <t>Credit risk mitigation impact (–)</t>
    </r>
    <r>
      <rPr>
        <sz val="10"/>
        <color rgb="FF00B0F0"/>
        <rFont val="Arial"/>
        <family val="2"/>
      </rPr>
      <t xml:space="preserve"> </t>
    </r>
  </si>
  <si>
    <t>Credit derivatives</t>
  </si>
  <si>
    <t>Total position before CRM is the sum of its parts</t>
  </si>
  <si>
    <t>Total position (AH) is greater than or equal to total adjusted position (AI)</t>
  </si>
  <si>
    <t>End of grace period must be no more than 3 months in the future</t>
  </si>
  <si>
    <t>Total position after weighting and CRM is equal or less than position before CRM</t>
  </si>
  <si>
    <t>large.exposure@finma.ch</t>
  </si>
  <si>
    <r>
      <rPr>
        <b/>
        <sz val="10"/>
        <rFont val="Arial"/>
        <family val="2"/>
      </rPr>
      <t>Submission deadline: LER:</t>
    </r>
    <r>
      <rPr>
        <sz val="10"/>
        <rFont val="Arial"/>
        <family val="2"/>
      </rPr>
      <t xml:space="preserve"> The forms, which are required on a </t>
    </r>
    <r>
      <rPr>
        <b/>
        <sz val="10"/>
        <rFont val="Arial"/>
        <family val="2"/>
      </rPr>
      <t>semi-annually</t>
    </r>
    <r>
      <rPr>
        <sz val="10"/>
        <rFont val="Arial"/>
        <family val="2"/>
      </rPr>
      <t xml:space="preserve"> basis, </t>
    </r>
    <r>
      <rPr>
        <b/>
        <sz val="10"/>
        <rFont val="Arial"/>
        <family val="2"/>
      </rPr>
      <t>must be submitted within six weeks.</t>
    </r>
  </si>
  <si>
    <t>No</t>
  </si>
  <si>
    <t>Yes</t>
  </si>
  <si>
    <t>COUNTERPARTY 1</t>
  </si>
  <si>
    <t>COUNTERPARTY 2</t>
  </si>
  <si>
    <t>COUNTERPARTY 3</t>
  </si>
  <si>
    <t>COUNTERPARTY 4</t>
  </si>
  <si>
    <t>COUNTERPARTY 5</t>
  </si>
  <si>
    <t>COUNTERPARTY 6</t>
  </si>
  <si>
    <t>COUNTERPARTY 7</t>
  </si>
  <si>
    <t>COUNTERPARTY 8</t>
  </si>
  <si>
    <t>COUNTERPARTY 9</t>
  </si>
  <si>
    <t>COUNTERPARTY 10</t>
  </si>
  <si>
    <t>COUNTERPARTY 11</t>
  </si>
  <si>
    <t>COUNTERPARTY 12</t>
  </si>
  <si>
    <t>COUNTERPARTY 13</t>
  </si>
  <si>
    <t>COUNTERPARTY 14</t>
  </si>
  <si>
    <t>COUNTERPARTY 15</t>
  </si>
  <si>
    <t>COUNTERPARTY 16</t>
  </si>
  <si>
    <t>COUNTERPARTY 17</t>
  </si>
  <si>
    <t>COUNTERPARTY 18</t>
  </si>
  <si>
    <t>COUNTERPARTY 19</t>
  </si>
  <si>
    <t>COUNTERPARTY 20</t>
  </si>
  <si>
    <t>COUNTERPARTY 21</t>
  </si>
  <si>
    <t>COUNTERPARTY 22</t>
  </si>
  <si>
    <t>COUNTERPARTY 23</t>
  </si>
  <si>
    <t>COUNTERPARTY 24</t>
  </si>
  <si>
    <t>COUNTERPARTY 25</t>
  </si>
  <si>
    <t>COUNTERPARTY 26</t>
  </si>
  <si>
    <t>COUNTERPARTY 27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</si>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</sst>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0000"/>
    <numFmt numFmtId="165" formatCode="d/mm/yyyy"/>
    <numFmt numFmtId="166" formatCode="#,##0_);[Red]\-#,##0_);;@"/>
    <numFmt numFmtId="167" formatCode="#,##0_);[Red]\-#,##0_);0;@"/>
    <numFmt numFmtId="168" formatCode="#,##0_);\-#,##0_);0;@"/>
    <numFmt numFmtId="169" formatCode="0%;\-0%;0%"/>
    <numFmt numFmtId="170" formatCode="0%;\-0%;;"/>
    <numFmt numFmtId="171" formatCode="0.0%;\-0.0%;0%"/>
    <numFmt numFmtId="172" formatCode="0.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8"/>
      <color rgb="FF0000FF"/>
      <name val="Arial"/>
      <family val="2"/>
    </font>
    <font>
      <sz val="12"/>
      <name val="Arial"/>
      <family val="2"/>
    </font>
    <font>
      <sz val="10"/>
      <color rgb="FF0070C0"/>
      <name val="Arial"/>
      <family val="2"/>
    </font>
    <font>
      <sz val="10"/>
      <color rgb="FF00B0F0"/>
      <name val="Arial"/>
      <family val="2"/>
    </font>
    <font>
      <b/>
      <sz val="14"/>
      <name val="Calibri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rgb="FFBCBDBC"/>
      </top>
      <bottom style="thin">
        <color rgb="FFBCBDBC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" fillId="4" borderId="5">
      <alignment horizontal="center"/>
    </xf>
    <xf numFmtId="0" fontId="9" fillId="3" borderId="6">
      <alignment horizontal="center" vertical="center"/>
    </xf>
    <xf numFmtId="0" fontId="1" fillId="0" borderId="0" applyNumberFormat="0">
      <alignment horizontal="left" vertical="top" wrapText="1" indent="1"/>
    </xf>
    <xf numFmtId="49" fontId="1" fillId="4" borderId="5">
      <alignment horizontal="left"/>
    </xf>
    <xf numFmtId="166" fontId="1" fillId="0" borderId="5" applyNumberFormat="0" applyFont="0" applyAlignment="0">
      <alignment vertical="center"/>
    </xf>
    <xf numFmtId="166" fontId="1" fillId="0" borderId="18" applyFill="0">
      <protection locked="0"/>
    </xf>
    <xf numFmtId="49" fontId="1" fillId="0" borderId="18">
      <alignment horizontal="center" wrapText="1"/>
      <protection locked="0"/>
    </xf>
  </cellStyleXfs>
  <cellXfs count="119">
    <xf numFmtId="0" fontId="0" fillId="0" borderId="0" xfId="0"/>
    <xf numFmtId="0" fontId="0" fillId="0" borderId="0" xfId="0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2" quotePrefix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7" fillId="3" borderId="3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0" xfId="0" applyFont="1"/>
    <xf numFmtId="0" fontId="11" fillId="0" borderId="4" xfId="3" applyFont="1" applyBorder="1" applyAlignment="1" applyProtection="1">
      <alignment horizontal="left" readingOrder="1"/>
    </xf>
    <xf numFmtId="0" fontId="0" fillId="0" borderId="4" xfId="0" applyBorder="1"/>
    <xf numFmtId="49" fontId="3" fillId="0" borderId="0" xfId="0" applyNumberFormat="1" applyFont="1" applyAlignment="1">
      <alignment horizontal="center" vertical="center"/>
    </xf>
    <xf numFmtId="0" fontId="2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0" xfId="3" applyFont="1" applyAlignment="1" applyProtection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" fillId="2" borderId="5" xfId="4" applyFill="1">
      <alignment horizontal="center"/>
    </xf>
    <xf numFmtId="0" fontId="9" fillId="3" borderId="6" xfId="5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1" fillId="0" borderId="1" xfId="6" applyBorder="1" applyAlignment="1">
      <alignment horizontal="center" vertical="top"/>
    </xf>
    <xf numFmtId="0" fontId="1" fillId="0" borderId="1" xfId="6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1" fillId="4" borderId="5" xfId="4">
      <alignment horizontal="center"/>
    </xf>
    <xf numFmtId="49" fontId="1" fillId="4" borderId="5" xfId="7" applyAlignment="1">
      <alignment horizontal="center"/>
    </xf>
    <xf numFmtId="49" fontId="1" fillId="4" borderId="5" xfId="7" applyAlignment="1">
      <alignment horizontal="center" vertical="center" shrinkToFit="1"/>
    </xf>
    <xf numFmtId="49" fontId="1" fillId="4" borderId="14" xfId="7" applyBorder="1" applyAlignment="1">
      <alignment horizontal="left" vertical="center" indent="1" shrinkToFit="1"/>
    </xf>
    <xf numFmtId="49" fontId="1" fillId="4" borderId="15" xfId="7" applyBorder="1" applyAlignment="1">
      <alignment horizontal="left" vertical="center" indent="1" shrinkToFit="1"/>
    </xf>
    <xf numFmtId="0" fontId="13" fillId="0" borderId="8" xfId="0" applyFont="1" applyBorder="1" applyAlignment="1">
      <alignment wrapText="1"/>
    </xf>
    <xf numFmtId="49" fontId="1" fillId="0" borderId="5" xfId="8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17" xfId="0" applyBorder="1" applyAlignment="1">
      <alignment wrapText="1"/>
    </xf>
    <xf numFmtId="167" fontId="1" fillId="0" borderId="18" xfId="9" applyNumberFormat="1">
      <protection locked="0"/>
    </xf>
    <xf numFmtId="167" fontId="1" fillId="0" borderId="18" xfId="9" applyNumberFormat="1" applyFill="1">
      <protection locked="0"/>
    </xf>
    <xf numFmtId="0" fontId="8" fillId="0" borderId="0" xfId="0" applyFont="1" applyAlignment="1">
      <alignment horizontal="right" indent="1"/>
    </xf>
    <xf numFmtId="0" fontId="0" fillId="0" borderId="19" xfId="0" applyBorder="1" applyAlignment="1">
      <alignment wrapText="1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9" fillId="3" borderId="6" xfId="5" quotePrefix="1">
      <alignment horizontal="center" vertical="center"/>
    </xf>
    <xf numFmtId="0" fontId="1" fillId="0" borderId="14" xfId="6" applyBorder="1" applyAlignment="1">
      <alignment vertical="top" wrapText="1"/>
    </xf>
    <xf numFmtId="0" fontId="1" fillId="0" borderId="15" xfId="6" applyBorder="1" applyAlignment="1">
      <alignment vertical="top" wrapText="1"/>
    </xf>
    <xf numFmtId="0" fontId="1" fillId="0" borderId="13" xfId="6" applyBorder="1">
      <alignment horizontal="left" vertical="top" wrapText="1" indent="1"/>
    </xf>
    <xf numFmtId="0" fontId="8" fillId="0" borderId="13" xfId="6" applyFont="1" applyBorder="1">
      <alignment horizontal="left" vertical="top" wrapText="1" indent="1"/>
    </xf>
    <xf numFmtId="0" fontId="1" fillId="0" borderId="7" xfId="6" applyBorder="1">
      <alignment horizontal="left" vertical="top" wrapText="1" indent="1"/>
    </xf>
    <xf numFmtId="0" fontId="1" fillId="0" borderId="9" xfId="6" applyBorder="1">
      <alignment horizontal="left" vertical="top" wrapText="1" indent="1"/>
    </xf>
    <xf numFmtId="0" fontId="0" fillId="0" borderId="13" xfId="6" applyFont="1" applyBorder="1">
      <alignment horizontal="left" vertical="top" wrapText="1" indent="1"/>
    </xf>
    <xf numFmtId="0" fontId="0" fillId="0" borderId="0" xfId="6" applyFont="1">
      <alignment horizontal="left" vertical="top" wrapText="1" indent="1"/>
    </xf>
    <xf numFmtId="0" fontId="0" fillId="2" borderId="4" xfId="0" applyFill="1" applyBorder="1" applyAlignment="1">
      <alignment horizontal="center"/>
    </xf>
    <xf numFmtId="0" fontId="0" fillId="2" borderId="12" xfId="0" applyFill="1" applyBorder="1"/>
    <xf numFmtId="0" fontId="0" fillId="0" borderId="20" xfId="0" applyBorder="1" applyAlignment="1">
      <alignment vertical="center" wrapText="1"/>
    </xf>
    <xf numFmtId="169" fontId="0" fillId="0" borderId="21" xfId="1" applyNumberFormat="1" applyFont="1" applyFill="1" applyBorder="1" applyAlignment="1" applyProtection="1">
      <alignment horizontal="right"/>
      <protection locked="0"/>
    </xf>
    <xf numFmtId="168" fontId="0" fillId="0" borderId="21" xfId="0" applyNumberFormat="1" applyBorder="1" applyAlignment="1" applyProtection="1">
      <alignment horizontal="right"/>
      <protection locked="0"/>
    </xf>
    <xf numFmtId="14" fontId="0" fillId="0" borderId="21" xfId="0" applyNumberFormat="1" applyBorder="1" applyAlignment="1" applyProtection="1">
      <alignment horizontal="right"/>
      <protection locked="0"/>
    </xf>
    <xf numFmtId="9" fontId="8" fillId="0" borderId="4" xfId="1" applyFont="1" applyBorder="1"/>
    <xf numFmtId="0" fontId="8" fillId="0" borderId="4" xfId="0" applyFont="1" applyBorder="1" applyAlignment="1">
      <alignment wrapText="1"/>
    </xf>
    <xf numFmtId="0" fontId="8" fillId="2" borderId="1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 wrapText="1"/>
    </xf>
    <xf numFmtId="0" fontId="15" fillId="0" borderId="0" xfId="0" applyFont="1"/>
    <xf numFmtId="49" fontId="0" fillId="0" borderId="21" xfId="0" applyNumberFormat="1" applyBorder="1" applyAlignment="1" applyProtection="1">
      <alignment horizontal="right"/>
      <protection locked="0"/>
    </xf>
    <xf numFmtId="167" fontId="0" fillId="0" borderId="21" xfId="0" applyNumberFormat="1" applyBorder="1" applyAlignment="1" applyProtection="1">
      <alignment horizontal="right"/>
      <protection locked="0"/>
    </xf>
    <xf numFmtId="168" fontId="8" fillId="0" borderId="21" xfId="0" applyNumberFormat="1" applyFont="1" applyBorder="1" applyAlignment="1" applyProtection="1">
      <alignment horizontal="right"/>
      <protection locked="0"/>
    </xf>
    <xf numFmtId="0" fontId="16" fillId="0" borderId="0" xfId="0" applyFont="1"/>
    <xf numFmtId="0" fontId="10" fillId="0" borderId="0" xfId="3" applyAlignment="1" applyProtection="1"/>
    <xf numFmtId="170" fontId="0" fillId="0" borderId="21" xfId="1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49" fontId="0" fillId="0" borderId="21" xfId="0" applyNumberFormat="1" applyBorder="1" applyAlignment="1" applyProtection="1">
      <alignment horizontal="left"/>
      <protection locked="0"/>
    </xf>
    <xf numFmtId="49" fontId="0" fillId="0" borderId="21" xfId="0" applyNumberFormat="1" applyBorder="1" applyAlignment="1" applyProtection="1">
      <alignment horizontal="left" wrapText="1"/>
      <protection locked="0"/>
    </xf>
    <xf numFmtId="171" fontId="0" fillId="0" borderId="21" xfId="1" applyNumberFormat="1" applyFont="1" applyFill="1" applyBorder="1" applyAlignment="1">
      <alignment horizontal="right"/>
    </xf>
    <xf numFmtId="172" fontId="3" fillId="0" borderId="1" xfId="0" applyNumberFormat="1" applyFont="1" applyBorder="1" applyAlignment="1">
      <alignment horizontal="center" vertical="center"/>
    </xf>
    <xf numFmtId="0" fontId="0" fillId="2" borderId="0" xfId="0" applyFill="1" applyAlignment="1" applyProtection="1">
      <alignment horizontal="left"/>
      <protection locked="0"/>
    </xf>
    <xf numFmtId="0" fontId="1" fillId="0" borderId="14" xfId="6" applyBorder="1" applyAlignment="1">
      <alignment horizontal="center" vertical="top"/>
    </xf>
    <xf numFmtId="0" fontId="1" fillId="0" borderId="15" xfId="6" applyBorder="1" applyAlignment="1">
      <alignment horizontal="center" vertical="top"/>
    </xf>
    <xf numFmtId="0" fontId="1" fillId="0" borderId="16" xfId="6" applyBorder="1" applyAlignment="1">
      <alignment horizontal="center" vertical="top"/>
    </xf>
    <xf numFmtId="0" fontId="1" fillId="0" borderId="13" xfId="6" applyBorder="1">
      <alignment horizontal="left" vertical="top" wrapText="1" indent="1"/>
    </xf>
    <xf numFmtId="0" fontId="1" fillId="0" borderId="5" xfId="6" applyBorder="1">
      <alignment horizontal="left" vertical="top" wrapText="1" indent="1"/>
    </xf>
    <xf numFmtId="0" fontId="1" fillId="0" borderId="13" xfId="6" applyBorder="1" applyAlignment="1">
      <alignment horizontal="left" vertical="top" wrapText="1"/>
    </xf>
    <xf numFmtId="0" fontId="1" fillId="0" borderId="5" xfId="6" applyBorder="1" applyAlignment="1">
      <alignment horizontal="left" vertical="top" wrapText="1"/>
    </xf>
    <xf numFmtId="0" fontId="15" fillId="0" borderId="14" xfId="6" applyFont="1" applyBorder="1">
      <alignment horizontal="left" vertical="top" wrapText="1" indent="1"/>
    </xf>
    <xf numFmtId="0" fontId="15" fillId="0" borderId="15" xfId="6" applyFont="1" applyBorder="1">
      <alignment horizontal="left" vertical="top" wrapText="1" indent="1"/>
    </xf>
    <xf numFmtId="0" fontId="15" fillId="0" borderId="16" xfId="6" applyFont="1" applyBorder="1">
      <alignment horizontal="left" vertical="top" wrapText="1" indent="1"/>
    </xf>
    <xf numFmtId="0" fontId="1" fillId="0" borderId="14" xfId="6" applyBorder="1">
      <alignment horizontal="left" vertical="top" wrapText="1" indent="1"/>
    </xf>
    <xf numFmtId="0" fontId="1" fillId="0" borderId="15" xfId="6" applyBorder="1">
      <alignment horizontal="left" vertical="top" wrapText="1" indent="1"/>
    </xf>
    <xf numFmtId="0" fontId="11" fillId="0" borderId="13" xfId="3" applyFont="1" applyFill="1" applyBorder="1" applyAlignment="1" applyProtection="1">
      <alignment horizontal="left" vertical="top" wrapText="1" indent="1"/>
    </xf>
    <xf numFmtId="0" fontId="11" fillId="0" borderId="5" xfId="3" applyFont="1" applyFill="1" applyBorder="1" applyAlignment="1" applyProtection="1">
      <alignment horizontal="left" vertical="top" wrapText="1" indent="1"/>
    </xf>
    <xf numFmtId="0" fontId="0" fillId="0" borderId="7" xfId="6" applyFont="1" applyBorder="1">
      <alignment horizontal="left" vertical="top" wrapText="1" indent="1"/>
    </xf>
    <xf numFmtId="0" fontId="1" fillId="0" borderId="10" xfId="6" applyBorder="1">
      <alignment horizontal="left" vertical="top" wrapText="1" indent="1"/>
    </xf>
    <xf numFmtId="0" fontId="8" fillId="0" borderId="7" xfId="3" applyFont="1" applyFill="1" applyBorder="1" applyAlignment="1" applyProtection="1">
      <alignment horizontal="left" vertical="top" wrapText="1" indent="1"/>
    </xf>
    <xf numFmtId="0" fontId="8" fillId="0" borderId="10" xfId="3" applyFont="1" applyFill="1" applyBorder="1" applyAlignment="1" applyProtection="1">
      <alignment horizontal="left" vertical="top" wrapText="1" indent="1"/>
    </xf>
    <xf numFmtId="0" fontId="1" fillId="0" borderId="7" xfId="6" applyBorder="1">
      <alignment horizontal="left" vertical="top" wrapText="1" indent="1"/>
    </xf>
    <xf numFmtId="0" fontId="0" fillId="0" borderId="14" xfId="6" applyFont="1" applyBorder="1">
      <alignment horizontal="left" vertical="top" wrapText="1" indent="1"/>
    </xf>
    <xf numFmtId="0" fontId="1" fillId="0" borderId="16" xfId="6" applyBorder="1">
      <alignment horizontal="left" vertical="top" wrapText="1" indent="1"/>
    </xf>
  </cellXfs>
  <cellStyles count="11">
    <cellStyle name="Beobachtung" xfId="9" xr:uid="{BFF12FC4-591D-4584-8384-72D57B9F6B6D}"/>
    <cellStyle name="Beobachtung (alpha)" xfId="10" xr:uid="{E9ADA2D3-23DC-4C76-B567-5445DC163B76}"/>
    <cellStyle name="Col_Text" xfId="6" xr:uid="{71F3483C-D1E3-4DC3-9DEA-F6526217AA7C}"/>
    <cellStyle name="EmptyField" xfId="8" xr:uid="{27FC6F9B-70B4-497B-9262-732CDFF83A59}"/>
    <cellStyle name="Hyperlink" xfId="3" builtinId="8"/>
    <cellStyle name="NaRas" xfId="7" xr:uid="{17A0358A-E504-4BDC-AF8A-7B57A526B2F1}"/>
    <cellStyle name="Normal" xfId="0" builtinId="0"/>
    <cellStyle name="Percent" xfId="1" builtinId="5"/>
    <cellStyle name="Überschrift 5" xfId="2" xr:uid="{84AB3199-1416-41C3-BE03-E54E89DAF0D6}"/>
    <cellStyle name="ValMessage" xfId="5" xr:uid="{E3F7097E-DFCF-4E38-B112-DD9C1D74DB52}"/>
    <cellStyle name="ZeN" xfId="4" xr:uid="{CC6456E6-3095-4F38-BB86-1F1955BA5EE6}"/>
  </cellStyles>
  <dxfs count="38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C000"/>
        </patternFill>
      </fill>
    </dxf>
    <dxf>
      <numFmt numFmtId="30" formatCode="@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numFmt numFmtId="168" formatCode="#,##0_);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8" formatCode="#,##0_);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9" formatCode="0%;\-0%;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0" formatCode="0%;\-0%;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1" formatCode="0.0%;\-0.0%;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</dxf>
    <dxf>
      <numFmt numFmtId="168" formatCode="#,##0_);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8" formatCode="#,##0_);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#,##0_);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8" formatCode="#,##0_);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8" formatCode="#,##0_);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8" formatCode="#,##0_);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167" formatCode="#,##0_);[Red]\-#,##0_);0;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border outline="0">
        <right style="thin">
          <color indexed="64"/>
        </right>
        <bottom style="hair">
          <color indexed="64"/>
        </bottom>
      </border>
    </dxf>
    <dxf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</dxf>
  </dxfs>
  <tableStyles count="0" defaultTableStyle="TableStyleMedium2" defaultPivotStyle="PivotStyleLight16"/>
  <colors>
    <mruColors>
      <color rgb="FF0000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:schema xmlns:xs="http://www.w3.org/2001/XMLSchema" xmlns="" attributeFormDefault="unqualified" elementFormDefault="qualified">
      <xs:element name="xml">
        <xs:complexType>
          <xs:sequence>
            <xs:element name="Report">
              <xs:complexType>
                <xs:sequence>
                  <xs:element name="XmlValidationErrors" type="xs:integer" minOccurs="1" maxOccurs="1"/>
                  <xs:element name="XmlValidationWarnings" type="xs:integer" minOccurs="1" maxOccurs="1"/>
                  <xs:element name="Survey" type="xs:string" minOccurs="1" maxOccurs="1"/>
                  <xs:element name="Workbook" type="xs:string" minOccurs="1" maxOccurs="1"/>
                  <xs:element name="Version" type="Version" minOccurs="1" maxOccurs="1"/>
                  <xs:element name="FinmaCode" type="xs:integer" minOccurs="1" maxOccurs="1"/>
                  <xs:element name="ReportingDate" type="xs:date" minOccurs="1" maxOccurs="1"/>
                  <xs:element name="ReportingLevel" type="ReportingLevel" minOccurs="1" maxOccurs="1"/>
                  <xs:element name="Werte">
                    <xs:complexType>
                      <xs:sequence>
                        <xs:element name="LER.LER_01" minOccurs="0" maxOccurs="1">
                          <xs:complexType>
                            <xs:sequence>
                              <xs:element name="LER.LER_01.KAT" type="Kategorie" minOccurs="0" maxOccurs="1"/>
                              <xs:element name="LER.LER_01.CPB.T1C_CUP" type="xs:double" minOccurs="0" maxOccurs="1"/>
                              <xs:element name="LER.LER_01.CPB.T1C_PRP" type="xs:double" minOccurs="0" maxOccurs="1"/>
                              <xs:element name="LER.LER_01.CPB.CT1_CUP" type="xs:double" minOccurs="0" maxOccurs="1"/>
                              <xs:element name="LER.LER_01.CPB.CT1_PRP" type="xs:double" minOccurs="0" maxOccurs="1"/>
                              <xs:element name="LER.LER_01.CPB.HIR_CUP" type="xs:double" minOccurs="0" maxOccurs="1"/>
                              <xs:element name="LER.LER_01.CPB.HIR_PRP" type="xs:double" minOccurs="0" maxOccurs="1"/>
                            </xs:sequence>
                          </xs:complexType>
                        </xs:element>
                        <xs:element name="LER.LER_02" minOccurs="0" maxOccurs="1">
                          <xs:complexType>
                            <xs:sequence>
                              <xs:element name="LER.LER_02Items" type="LER.LER_02ItemsType" minOccurs="0" maxOccurs="unbounded"/>
                            </xs:sequence>
                          </xs:complexType>
                        </xs:element>
                      </xs:sequence>
                    </xs:complexType>
                  </xs:element>
                </xs:sequence>
              </xs:complexType>
            </xs:element>
          </xs:sequence>
        </xs:complexType>
      </xs:element>
      <xs:simpleType name="Kategorie">
        <xs:restriction base="xs:integer">
          <xs:minInclusive value="1"/>
          <xs:maxInclusive value="5"/>
        </xs:restriction>
      </xs:simpleType>
      <xs:complexType name="LER.LER_02ItemsType">
        <xs:sequence>
          <xs:element name="LER.LER_02.CPN" type="xs:string" minOccurs="0" maxOccurs="1"/>
          <xs:element name="LER.LER_02.COD" type="CountryCode" minOccurs="0" maxOccurs="1"/>
          <xs:element name="LER.LER_02.LEI" type="xs:string" minOccurs="0" maxOccurs="1"/>
          <xs:element name="LER.LER_02.UID" type="xs:string" minOccurs="0" maxOccurs="1"/>
          <xs:element name="LER.LER_02.ID" type="xs:string" minOccurs="0" maxOccurs="1"/>
          <xs:element name="LER.LER_02.CPT" type="CounterpartyType" minOccurs="0" maxOccurs="1"/>
          <xs:element name="LER.LER_02.AP" type="YESNOANSWER" minOccurs="0" maxOccurs="1"/>
          <xs:element name="LER.LER_02.NOG" type="NOGACode" minOccurs="0" maxOccurs="1"/>
          <xs:element name="LER.LER_02.ICG" type="IndividualOrGroup" minOccurs="0" maxOccurs="1"/>
          <xs:element name="LER.LER_02.SPP" type="xs:double" minOccurs="0" maxOccurs="1"/>
          <xs:element name="LER.LER_02.DIP.OBP" type="xs:double" minOccurs="0" maxOccurs="1"/>
          <xs:element name="LER.LER_02.DIP.CED" type="xs:double" minOccurs="0" maxOccurs="1"/>
          <xs:element name="LER.LER_02.DIP.CES" type="xs:double" minOccurs="0" maxOccurs="1"/>
          <xs:element name="LER.LER_02.DIP.MOR" type="xs:double" minOccurs="0" maxOccurs="1"/>
          <xs:element name="LER.LER_02.DIP.UAS" type="xs:double" minOccurs="0" maxOccurs="1"/>
          <xs:element name="LER.LER_02.DIP.OTH" type="xs:double" minOccurs="0" maxOccurs="1"/>
          <xs:element name="LER.LER_02.INP.FIC" type="xs:double" minOccurs="0" maxOccurs="1"/>
          <xs:element name="LER.LER_02.INP.GCD" type="xs:double" minOccurs="0" maxOccurs="1"/>
          <xs:element name="LER.LER_02.PBR" type="xs:double" minOccurs="0" maxOccurs="1"/>
          <xs:element name="LER.LER_02.CRM.NET" type="xs:double" minOccurs="0" maxOccurs="1"/>
          <xs:element name="LER.LER_02.CRM.CRD" type="xs:double" minOccurs="0" maxOccurs="1"/>
          <xs:element name="LER.LER_02.CRM.FIC" type="xs:double" minOccurs="0" maxOccurs="1"/>
          <xs:element name="LER.LER_02.CRM.GUA" type="xs:double" minOccurs="0" maxOccurs="1"/>
          <xs:element name="LER.LER_02.TOP" type="xs:double" minOccurs="0" maxOccurs="1"/>
          <xs:element name="LER.LER_02.TAP" type="xs:double" minOccurs="0" maxOccurs="1"/>
          <xs:element name="LER.LER_02.TCB" type="xs:double" minOccurs="0" maxOccurs="1"/>
          <xs:element name="LER.LER_02.UCB" type="xs:double" minOccurs="0" maxOccurs="1"/>
          <xs:element name="LER.LER_02.ECB" type="xs:double" minOccurs="0" maxOccurs="1"/>
          <xs:element name="LER.LER_02.PRM.TAP" type="xs:double" minOccurs="0" maxOccurs="1"/>
          <xs:element name="LER.LER_02.PRM.TAI" type="xs:double" minOccurs="0" maxOccurs="1"/>
          <xs:element name="LER.LER_02.PRM.EGP" type="xs:date" minOccurs="0" maxOccurs="1"/>
          <xs:element name="LER.LER_02.COM" type="xs:string" minOccurs="0" maxOccurs="1"/>
        </xs:sequence>
      </xs:complexType>
      <xs:simpleType name="CountryCode">
        <xs:restriction base="xs:string">
          <xs:enumeration value="CHE"/>
          <xs:enumeration value="LIE"/>
          <xs:enumeration value="ABW"/>
          <xs:enumeration value="AFG"/>
          <xs:enumeration value="AGO"/>
          <xs:enumeration value="AIA"/>
          <xs:enumeration value="ALA"/>
          <xs:enumeration value="ALB"/>
          <xs:enumeration value="AND"/>
          <xs:enumeration value="ARE"/>
          <xs:enumeration value="ARG"/>
          <xs:enumeration value="ARM"/>
          <xs:enumeration value="ASC"/>
          <xs:enumeration value="ASM"/>
          <xs:enumeration value="ATA"/>
          <xs:enumeration value="ATF"/>
          <xs:enumeration value="ATG"/>
          <xs:enumeration value="AUS"/>
          <xs:enumeration value="AUT"/>
          <xs:enumeration value="AZE"/>
          <xs:enumeration value="BDI"/>
          <xs:enumeration value="BEL"/>
          <xs:enumeration value="BEN"/>
          <xs:enumeration value="BES"/>
          <xs:enumeration value="BFA"/>
          <xs:enumeration value="BGD"/>
          <xs:enumeration value="BGR"/>
          <xs:enumeration value="BHR"/>
          <xs:enumeration value="BHS"/>
          <xs:enumeration value="BIH"/>
          <xs:enumeration value="BLM"/>
          <xs:enumeration value="BLR"/>
          <xs:enumeration value="BLZ"/>
          <xs:enumeration value="BMU"/>
          <xs:enumeration value="BOL"/>
          <xs:enumeration value="BRA"/>
          <xs:enumeration value="BRB"/>
          <xs:enumeration value="BRN"/>
          <xs:enumeration value="BTN"/>
          <xs:enumeration value="BVT"/>
          <xs:enumeration value="BWA"/>
          <xs:enumeration value="CAF"/>
          <xs:enumeration value="CAN"/>
          <xs:enumeration value="CCK"/>
          <xs:enumeration value="CHL"/>
          <xs:enumeration value="CHN"/>
          <xs:enumeration value="CIV"/>
          <xs:enumeration value="CMR"/>
          <xs:enumeration value="COD"/>
          <xs:enumeration value="COG"/>
          <xs:enumeration value="COK"/>
          <xs:enumeration value="COL"/>
          <xs:enumeration value="COM"/>
          <xs:enumeration value="CPT"/>
          <xs:enumeration value="CPV"/>
          <xs:enumeration value="CRI"/>
          <xs:enumeration value="CUB"/>
          <xs:enumeration value="CUW"/>
          <xs:enumeration value="CXR"/>
          <xs:enumeration value="CYM"/>
          <xs:enumeration value="CYP"/>
          <xs:enumeration value="CZE"/>
          <xs:enumeration value="DEU"/>
          <xs:enumeration value="DGA"/>
          <xs:enumeration value="DJI"/>
          <xs:enumeration value="DMA"/>
          <xs:enumeration value="DNK"/>
          <xs:enumeration value="DOM"/>
          <xs:enumeration value="DZA"/>
          <xs:enumeration value="ECU"/>
          <xs:enumeration value="EGY"/>
          <xs:enumeration value="ERI"/>
          <xs:enumeration value="ESH"/>
          <xs:enumeration value="ESP"/>
          <xs:enumeration value="EST"/>
          <xs:enumeration value="ETH"/>
          <xs:enumeration value="FIN"/>
          <xs:enumeration value="FJI"/>
          <xs:enumeration value="FLK"/>
          <xs:enumeration value="FRA"/>
          <xs:enumeration value="FRO"/>
          <xs:enumeration value="FSM"/>
          <xs:enumeration value="FXX"/>
          <xs:enumeration value="GAB"/>
          <xs:enumeration value="GBR"/>
          <xs:enumeration value="GEO"/>
          <xs:enumeration value="GGY"/>
          <xs:enumeration value="GHA"/>
          <xs:enumeration value="GIB"/>
          <xs:enumeration value="GIN"/>
          <xs:enumeration value="GLP"/>
          <xs:enumeration value="GMB"/>
          <xs:enumeration value="GNB"/>
          <xs:enumeration value="GNQ"/>
          <xs:enumeration value="GRC"/>
          <xs:enumeration value="GRD"/>
          <xs:enumeration value="GRL"/>
          <xs:enumeration value="GTM"/>
          <xs:enumeration value="GUF"/>
          <xs:enumeration value="GUM"/>
          <xs:enumeration value="GUY"/>
          <xs:enumeration value="HKG"/>
          <xs:enumeration value="HMD"/>
          <xs:enumeration value="HND"/>
          <xs:enumeration value="HRV"/>
          <xs:enumeration value="HTI"/>
          <xs:enumeration value="HUN"/>
          <xs:enumeration value="IDN"/>
          <xs:enumeration value="IMN"/>
          <xs:enumeration value="IND"/>
          <xs:enumeration value="IOT"/>
          <xs:enumeration value="IRL"/>
          <xs:enumeration value="IRN"/>
          <xs:enumeration value="IRQ"/>
          <xs:enumeration value="ISL"/>
          <xs:enumeration value="ISR"/>
          <xs:enumeration value="ITA"/>
          <xs:enumeration value="JAM"/>
          <xs:enumeration value="JEY"/>
          <xs:enumeration value="JOR"/>
          <xs:enumeration value="JPN"/>
          <xs:enumeration value="KAZ"/>
          <xs:enumeration value="KEN"/>
          <xs:enumeration value="KGZ"/>
          <xs:enumeration value="KHM"/>
          <xs:enumeration value="KIR"/>
          <xs:enumeration value="KNA"/>
          <xs:enumeration value="KOR"/>
          <xs:enumeration value="KWT"/>
          <xs:enumeration value="LAO"/>
          <xs:enumeration value="LBN"/>
          <xs:enumeration value="LBR"/>
          <xs:enumeration value="LBY"/>
          <xs:enumeration value="LCA"/>
          <xs:enumeration value="LKA"/>
          <xs:enumeration value="LSO"/>
          <xs:enumeration value="LTU"/>
          <xs:enumeration value="LUX"/>
          <xs:enumeration value="LVA"/>
          <xs:enumeration value="MAC"/>
          <xs:enumeration value="MAF"/>
          <xs:enumeration value="MAR"/>
          <xs:enumeration value="MCO"/>
          <xs:enumeration value="MDA"/>
          <xs:enumeration value="MDG"/>
          <xs:enumeration value="MDV"/>
          <xs:enumeration value="MEX"/>
          <xs:enumeration value="MHL"/>
          <xs:enumeration value="MKD"/>
          <xs:enumeration value="MLI"/>
          <xs:enumeration value="MLT"/>
          <xs:enumeration value="MMR"/>
          <xs:enumeration value="MNE"/>
          <xs:enumeration value="MNG"/>
          <xs:enumeration value="MNP"/>
          <xs:enumeration value="MOZ"/>
          <xs:enumeration value="MRT"/>
          <xs:enumeration value="MSR"/>
          <xs:enumeration value="MTQ"/>
          <xs:enumeration value="MUS"/>
          <xs:enumeration value="MWI"/>
          <xs:enumeration value="MYS"/>
          <xs:enumeration value="MYT"/>
          <xs:enumeration value="NAM"/>
          <xs:enumeration value="NCL"/>
          <xs:enumeration value="NER"/>
          <xs:enumeration value="NFK"/>
          <xs:enumeration value="NGA"/>
          <xs:enumeration value="NIC"/>
          <xs:enumeration value="NIU"/>
          <xs:enumeration value="NLD"/>
          <xs:enumeration value="NOR"/>
          <xs:enumeration value="NPL"/>
          <xs:enumeration value="NRU"/>
          <xs:enumeration value="NZL"/>
          <xs:enumeration value="OMN"/>
          <xs:enumeration value="PAK"/>
          <xs:enumeration value="PAN"/>
          <xs:enumeration value="PCN"/>
          <xs:enumeration value="PER"/>
          <xs:enumeration value="PHL"/>
          <xs:enumeration value="PLW"/>
          <xs:enumeration value="PNG"/>
          <xs:enumeration value="POL"/>
          <xs:enumeration value="PRI"/>
          <xs:enumeration value="PRK"/>
          <xs:enumeration value="PRT"/>
          <xs:enumeration value="PRY"/>
          <xs:enumeration value="PSE"/>
          <xs:enumeration value="PYF"/>
          <xs:enumeration value="QAT"/>
          <xs:enumeration value="REU"/>
          <xs:enumeration value="ROU"/>
          <xs:enumeration value="RUS"/>
          <xs:enumeration value="RWA"/>
          <xs:enumeration value="SAU"/>
          <xs:enumeration value="SDN"/>
          <xs:enumeration value="SEN"/>
          <xs:enumeration value="SGP"/>
          <xs:enumeration value="SGS"/>
          <xs:enumeration value="SHN"/>
          <xs:enumeration value="SJM"/>
          <xs:enumeration value="SLB"/>
          <xs:enumeration value="SLE"/>
          <xs:enumeration value="SLV"/>
          <xs:enumeration value="SMR"/>
          <xs:enumeration value="SOM"/>
          <xs:enumeration value="SPM"/>
          <xs:enumeration value="SRB"/>
          <xs:enumeration value="SSD"/>
          <xs:enumeration value="STP"/>
          <xs:enumeration value="SUR"/>
          <xs:enumeration value="SVK"/>
          <xs:enumeration value="SVN"/>
          <xs:enumeration value="SWE"/>
          <xs:enumeration value="SWZ"/>
          <xs:enumeration value="SXM"/>
          <xs:enumeration value="SYC"/>
          <xs:enumeration value="SYR"/>
          <xs:enumeration value="TAA"/>
          <xs:enumeration value="TCA"/>
          <xs:enumeration value="TCD"/>
          <xs:enumeration value="TGO"/>
          <xs:enumeration value="THA"/>
          <xs:enumeration value="TJK"/>
          <xs:enumeration value="TKL"/>
          <xs:enumeration value="TKM"/>
          <xs:enumeration value="TLS"/>
          <xs:enumeration value="TON"/>
          <xs:enumeration value="TTO"/>
          <xs:enumeration value="TUN"/>
          <xs:enumeration value="TUR"/>
          <xs:enumeration value="TUV"/>
          <xs:enumeration value="TWN"/>
          <xs:enumeration value="TZA"/>
          <xs:enumeration value="UGA"/>
          <xs:enumeration value="UKR"/>
          <xs:enumeration value="UMI"/>
          <xs:enumeration value="URY"/>
          <xs:enumeration value="USA"/>
          <xs:enumeration value="UZB"/>
          <xs:enumeration value="VAT"/>
          <xs:enumeration value="VCT"/>
          <xs:enumeration value="VEN"/>
          <xs:enumeration value="VGB"/>
          <xs:enumeration value="VIR"/>
          <xs:enumeration value="VNM"/>
          <xs:enumeration value="VUT"/>
          <xs:enumeration value="WLF"/>
          <xs:enumeration value="WSM"/>
          <xs:enumeration value="XIF"/>
          <xs:enumeration value="XIG"/>
          <xs:enumeration value="XKL"/>
          <xs:enumeration value="XKX"/>
          <xs:enumeration value="XPU"/>
          <xs:enumeration value="XVL"/>
          <xs:enumeration value="XVU"/>
          <xs:enumeration value="YEM"/>
          <xs:enumeration value="ZAF"/>
          <xs:enumeration value="ZMB"/>
          <xs:enumeration value="ZWE"/>
        </xs:restriction>
      </xs:simpleType>
      <xs:simpleType name="CounterpartyType">
        <xs:restriction base="xs:string">
          <xs:enumeration value="SOV"/>
          <xs:enumeration value="SOB"/>
          <xs:enumeration value="SOO"/>
          <xs:enumeration value="CAN"/>
          <xs:enumeration value="MUN"/>
          <xs:enumeration value="FPS"/>
          <xs:enumeration value="BSS"/>
          <xs:enumeration value="BFS"/>
          <xs:enumeration value="BSN"/>
          <xs:enumeration value="BFN"/>
          <xs:enumeration value="CBS"/>
          <xs:enumeration value="CPQ"/>
          <xs:enumeration value="CPN"/>
          <xs:enumeration value="FEO"/>
          <xs:enumeration value="INV"/>
          <xs:enumeration value="UNC"/>
          <xs:enumeration value="NFC"/>
          <xs:enumeration value="PDT"/>
          <xs:enumeration value="PRI"/>
          <xs:enumeration value="CY2"/>
          <xs:enumeration value="OTH"/>
          <xs:enumeration value="G0T"/>
          <xs:enumeration value="G0B"/>
          <xs:enumeration value="G1T"/>
          <xs:enumeration value="G1B"/>
        </xs:restriction>
      </xs:simpleType>
      <xs:simpleType name="YESNOANSWER">
        <xs:restriction base="xs:string">
          <xs:enumeration value="Yes"/>
          <xs:enumeration value="No"/>
        </xs:restriction>
      </xs:simpleType>
      <xs:simpleType name="NOGACode">
        <xs:restriction base="xs:string">
          <xs:enumeration value="01"/>
          <xs:enumeration value="02"/>
          <xs:enumeration value="03"/>
          <xs:enumeration value="05"/>
          <xs:enumeration value="06"/>
          <xs:enumeration value="07"/>
          <xs:enumeration value="08"/>
          <xs:enumeration value="09"/>
          <xs:enumeration value="10"/>
          <xs:enumeration value="11"/>
          <xs:enumeration value="12"/>
          <xs:enumeration value="13"/>
          <xs:enumeration value="14"/>
          <xs:enumeration value="15"/>
          <xs:enumeration value="16"/>
          <xs:enumeration value="17"/>
          <xs:enumeration value="18"/>
          <xs:enumeration value="19"/>
          <xs:enumeration value="20"/>
          <xs:enumeration value="21"/>
          <xs:enumeration value="22"/>
          <xs:enumeration value="23"/>
          <xs:enumeration value="24"/>
          <xs:enumeration value="25"/>
          <xs:enumeration value="26"/>
          <xs:enumeration value="27"/>
          <xs:enumeration value="28"/>
          <xs:enumeration value="29"/>
          <xs:enumeration value="30"/>
          <xs:enumeration value="31"/>
          <xs:enumeration value="32"/>
          <xs:enumeration value="33"/>
          <xs:enumeration value="35"/>
          <xs:enumeration value="36"/>
          <xs:enumeration value="37"/>
          <xs:enumeration value="38"/>
          <xs:enumeration value="39"/>
          <xs:enumeration value="41"/>
          <xs:enumeration value="42"/>
          <xs:enumeration value="43"/>
          <xs:enumeration value="45"/>
          <xs:enumeration value="46"/>
          <xs:enumeration value="47"/>
          <xs:enumeration value="49"/>
          <xs:enumeration value="50"/>
          <xs:enumeration value="51"/>
          <xs:enumeration value="52"/>
          <xs:enumeration value="53"/>
          <xs:enumeration value="55"/>
          <xs:enumeration value="56"/>
          <xs:enumeration value="58"/>
          <xs:enumeration value="59"/>
          <xs:enumeration value="60"/>
          <xs:enumeration value="61"/>
          <xs:enumeration value="62"/>
          <xs:enumeration value="63"/>
          <xs:enumeration value="64"/>
          <xs:enumeration value="65"/>
          <xs:enumeration value="66"/>
          <xs:enumeration value="68"/>
          <xs:enumeration value="69"/>
          <xs:enumeration value="70"/>
          <xs:enumeration value="71"/>
          <xs:enumeration value="72"/>
          <xs:enumeration value="73"/>
          <xs:enumeration value="74"/>
          <xs:enumeration value="75"/>
          <xs:enumeration value="77"/>
          <xs:enumeration value="78"/>
          <xs:enumeration value="79"/>
          <xs:enumeration value="80"/>
          <xs:enumeration value="81"/>
          <xs:enumeration value="82"/>
          <xs:enumeration value="84"/>
          <xs:enumeration value="85"/>
          <xs:enumeration value="86"/>
          <xs:enumeration value="87"/>
          <xs:enumeration value="88"/>
          <xs:enumeration value="90"/>
          <xs:enumeration value="91"/>
          <xs:enumeration value="92"/>
          <xs:enumeration value="93"/>
          <xs:enumeration value="94"/>
          <xs:enumeration value="95"/>
          <xs:enumeration value="96"/>
          <xs:enumeration value="97"/>
          <xs:enumeration value="98"/>
          <xs:enumeration value="99"/>
        </xs:restriction>
      </xs:simpleType>
      <xs:simpleType name="IndividualOrGroup">
        <xs:restriction base="xs:string">
          <xs:enumeration value="IND"/>
          <xs:enumeration value="CD"/>
          <xs:enumeration value="ED"/>
          <xs:enumeration value="CED"/>
          <xs:enumeration value="CON"/>
        </xs:restriction>
      </xs:simpleType>
      <xs:simpleType name="ReportingLevel">
        <xs:annotation>
          <xs:documentation>Unternehmung (U) or Konzern (K)</xs:documentation>
        </xs:annotation>
        <xs:restriction base="xs:string">
          <xs:enumeration value="K"/>
        </xs:restriction>
      </xs:simpleType>
      <xs:simpleType name="Version">
        <xs:annotation>
          <xs:documentation>XML Schema Version</xs:documentation>
        </xs:annotation>
        <xs:restriction base="xs:double">
          <xs:enumeration value="1.7"/>
        </xs:restriction>
      </xs:simpleType>
    </xs:schema>
  </Schema>
  <Map ID="5" Name="xml_Zuordnung" RootElement="xml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11670\Downloads\286674_102391_U_LER_v0.9.xlsx" TargetMode="External"/><Relationship Id="rId1" Type="http://schemas.openxmlformats.org/officeDocument/2006/relationships/externalLinkPath" Target="file:///C:\Users\F11670\Downloads\286674_102391_U_LER_v0.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LER_01"/>
      <sheetName val="LER_02"/>
      <sheetName val="Values"/>
      <sheetName val="Mapping"/>
    </sheetNames>
    <sheetDataSet>
      <sheetData sheetId="0"/>
      <sheetData sheetId="1"/>
      <sheetData sheetId="2"/>
      <sheetData sheetId="3">
        <row r="8">
          <cell r="B8" t="str">
            <v>SOV</v>
          </cell>
        </row>
        <row r="9">
          <cell r="B9" t="str">
            <v>SOB</v>
          </cell>
        </row>
        <row r="10">
          <cell r="B10" t="str">
            <v>SOO</v>
          </cell>
        </row>
        <row r="11">
          <cell r="B11" t="str">
            <v>CAN</v>
          </cell>
        </row>
        <row r="12">
          <cell r="B12" t="str">
            <v>MUN</v>
          </cell>
        </row>
        <row r="13">
          <cell r="B13" t="str">
            <v>FPS</v>
          </cell>
        </row>
        <row r="14">
          <cell r="B14" t="str">
            <v>BSS</v>
          </cell>
        </row>
        <row r="15">
          <cell r="B15" t="str">
            <v>BFS</v>
          </cell>
        </row>
        <row r="16">
          <cell r="B16" t="str">
            <v>BSN</v>
          </cell>
        </row>
        <row r="17">
          <cell r="B17" t="str">
            <v>BFN</v>
          </cell>
        </row>
        <row r="18">
          <cell r="B18" t="str">
            <v>CBS</v>
          </cell>
        </row>
        <row r="19">
          <cell r="B19" t="str">
            <v>CPQ</v>
          </cell>
        </row>
        <row r="20">
          <cell r="B20" t="str">
            <v>CPN</v>
          </cell>
        </row>
        <row r="21">
          <cell r="B21" t="str">
            <v>FEO</v>
          </cell>
        </row>
        <row r="22">
          <cell r="B22" t="str">
            <v>INV</v>
          </cell>
        </row>
        <row r="23">
          <cell r="B23" t="str">
            <v>UNC</v>
          </cell>
        </row>
        <row r="24">
          <cell r="B24" t="str">
            <v>NFC</v>
          </cell>
        </row>
        <row r="25">
          <cell r="B25" t="str">
            <v>PDT</v>
          </cell>
        </row>
        <row r="26">
          <cell r="B26" t="str">
            <v>PRI</v>
          </cell>
        </row>
        <row r="27">
          <cell r="B27" t="str">
            <v>CY2</v>
          </cell>
        </row>
        <row r="28">
          <cell r="B28" t="str">
            <v>OTH</v>
          </cell>
        </row>
        <row r="29">
          <cell r="B29" t="str">
            <v>G0T</v>
          </cell>
        </row>
        <row r="30">
          <cell r="B30" t="str">
            <v>G0B</v>
          </cell>
        </row>
        <row r="31">
          <cell r="B31" t="str">
            <v>G1T</v>
          </cell>
        </row>
        <row r="32">
          <cell r="B32" t="str">
            <v>G1B</v>
          </cell>
        </row>
        <row r="36">
          <cell r="B36" t="str">
            <v>01</v>
          </cell>
        </row>
        <row r="37">
          <cell r="B37" t="str">
            <v>02</v>
          </cell>
        </row>
        <row r="38">
          <cell r="B38" t="str">
            <v>03</v>
          </cell>
        </row>
        <row r="39">
          <cell r="B39" t="str">
            <v>05</v>
          </cell>
        </row>
        <row r="40">
          <cell r="B40" t="str">
            <v>06</v>
          </cell>
        </row>
        <row r="41">
          <cell r="B41" t="str">
            <v>07</v>
          </cell>
        </row>
        <row r="42">
          <cell r="B42" t="str">
            <v>08</v>
          </cell>
        </row>
        <row r="43">
          <cell r="B43" t="str">
            <v>09</v>
          </cell>
        </row>
        <row r="44">
          <cell r="B44" t="str">
            <v>10</v>
          </cell>
        </row>
        <row r="45">
          <cell r="B45" t="str">
            <v>11</v>
          </cell>
        </row>
        <row r="46">
          <cell r="B46" t="str">
            <v>12</v>
          </cell>
        </row>
        <row r="47">
          <cell r="B47" t="str">
            <v>13</v>
          </cell>
        </row>
        <row r="48">
          <cell r="B48" t="str">
            <v>14</v>
          </cell>
        </row>
        <row r="49">
          <cell r="B49" t="str">
            <v>15</v>
          </cell>
        </row>
        <row r="50">
          <cell r="B50" t="str">
            <v>16</v>
          </cell>
        </row>
        <row r="51">
          <cell r="B51" t="str">
            <v>17</v>
          </cell>
        </row>
        <row r="52">
          <cell r="B52" t="str">
            <v>18</v>
          </cell>
        </row>
        <row r="53">
          <cell r="B53" t="str">
            <v>19</v>
          </cell>
        </row>
        <row r="54">
          <cell r="B54" t="str">
            <v>20</v>
          </cell>
        </row>
        <row r="55">
          <cell r="B55" t="str">
            <v>21</v>
          </cell>
        </row>
        <row r="56">
          <cell r="B56" t="str">
            <v>22</v>
          </cell>
        </row>
        <row r="57">
          <cell r="B57" t="str">
            <v>23</v>
          </cell>
        </row>
        <row r="58">
          <cell r="B58" t="str">
            <v>24</v>
          </cell>
        </row>
        <row r="59">
          <cell r="B59" t="str">
            <v>25</v>
          </cell>
        </row>
        <row r="60">
          <cell r="B60" t="str">
            <v>26</v>
          </cell>
        </row>
        <row r="61">
          <cell r="B61" t="str">
            <v>27</v>
          </cell>
        </row>
        <row r="62">
          <cell r="B62" t="str">
            <v>28</v>
          </cell>
        </row>
        <row r="63">
          <cell r="B63" t="str">
            <v>29</v>
          </cell>
        </row>
        <row r="64">
          <cell r="B64" t="str">
            <v>30</v>
          </cell>
        </row>
        <row r="65">
          <cell r="B65" t="str">
            <v>31</v>
          </cell>
        </row>
        <row r="66">
          <cell r="B66" t="str">
            <v>32</v>
          </cell>
        </row>
        <row r="67">
          <cell r="B67" t="str">
            <v>33</v>
          </cell>
        </row>
        <row r="68">
          <cell r="B68" t="str">
            <v>35</v>
          </cell>
        </row>
        <row r="69">
          <cell r="B69" t="str">
            <v>36</v>
          </cell>
        </row>
        <row r="70">
          <cell r="B70" t="str">
            <v>37</v>
          </cell>
        </row>
        <row r="71">
          <cell r="B71" t="str">
            <v>38</v>
          </cell>
        </row>
        <row r="72">
          <cell r="B72" t="str">
            <v>39</v>
          </cell>
        </row>
        <row r="73">
          <cell r="B73" t="str">
            <v>41</v>
          </cell>
        </row>
        <row r="74">
          <cell r="B74" t="str">
            <v>42</v>
          </cell>
        </row>
        <row r="75">
          <cell r="B75" t="str">
            <v>43</v>
          </cell>
        </row>
        <row r="76">
          <cell r="B76" t="str">
            <v>45</v>
          </cell>
        </row>
        <row r="77">
          <cell r="B77" t="str">
            <v>46</v>
          </cell>
        </row>
        <row r="78">
          <cell r="B78" t="str">
            <v>47</v>
          </cell>
        </row>
        <row r="79">
          <cell r="B79" t="str">
            <v>49</v>
          </cell>
        </row>
        <row r="80">
          <cell r="B80" t="str">
            <v>50</v>
          </cell>
        </row>
        <row r="81">
          <cell r="B81" t="str">
            <v>51</v>
          </cell>
        </row>
        <row r="82">
          <cell r="B82" t="str">
            <v>52</v>
          </cell>
        </row>
        <row r="83">
          <cell r="B83" t="str">
            <v>53</v>
          </cell>
        </row>
        <row r="84">
          <cell r="B84" t="str">
            <v>55</v>
          </cell>
        </row>
        <row r="85">
          <cell r="B85" t="str">
            <v>56</v>
          </cell>
        </row>
        <row r="86">
          <cell r="B86" t="str">
            <v>58</v>
          </cell>
        </row>
        <row r="87">
          <cell r="B87" t="str">
            <v>59</v>
          </cell>
        </row>
        <row r="88">
          <cell r="B88" t="str">
            <v>60</v>
          </cell>
        </row>
        <row r="89">
          <cell r="B89" t="str">
            <v>61</v>
          </cell>
        </row>
        <row r="90">
          <cell r="B90" t="str">
            <v>62</v>
          </cell>
        </row>
        <row r="91">
          <cell r="B91" t="str">
            <v>63</v>
          </cell>
        </row>
        <row r="92">
          <cell r="B92" t="str">
            <v>64</v>
          </cell>
        </row>
        <row r="93">
          <cell r="B93" t="str">
            <v>65</v>
          </cell>
        </row>
        <row r="94">
          <cell r="B94" t="str">
            <v>66</v>
          </cell>
        </row>
        <row r="95">
          <cell r="B95" t="str">
            <v>68</v>
          </cell>
        </row>
        <row r="96">
          <cell r="B96" t="str">
            <v>69</v>
          </cell>
        </row>
        <row r="97">
          <cell r="B97" t="str">
            <v>70</v>
          </cell>
        </row>
        <row r="98">
          <cell r="B98" t="str">
            <v>71</v>
          </cell>
        </row>
        <row r="99">
          <cell r="B99" t="str">
            <v>72</v>
          </cell>
        </row>
        <row r="100">
          <cell r="B100" t="str">
            <v>73</v>
          </cell>
        </row>
        <row r="101">
          <cell r="B101" t="str">
            <v>74</v>
          </cell>
        </row>
        <row r="102">
          <cell r="B102" t="str">
            <v>75</v>
          </cell>
        </row>
        <row r="103">
          <cell r="B103" t="str">
            <v>77</v>
          </cell>
        </row>
        <row r="104">
          <cell r="B104" t="str">
            <v>78</v>
          </cell>
        </row>
        <row r="105">
          <cell r="B105" t="str">
            <v>79</v>
          </cell>
        </row>
        <row r="106">
          <cell r="B106" t="str">
            <v>80</v>
          </cell>
        </row>
        <row r="107">
          <cell r="B107" t="str">
            <v>81</v>
          </cell>
        </row>
        <row r="108">
          <cell r="B108" t="str">
            <v>82</v>
          </cell>
        </row>
        <row r="109">
          <cell r="B109" t="str">
            <v>84</v>
          </cell>
        </row>
        <row r="110">
          <cell r="B110" t="str">
            <v>85</v>
          </cell>
        </row>
        <row r="111">
          <cell r="B111" t="str">
            <v>86</v>
          </cell>
        </row>
        <row r="112">
          <cell r="B112" t="str">
            <v>87</v>
          </cell>
        </row>
        <row r="113">
          <cell r="B113" t="str">
            <v>88</v>
          </cell>
        </row>
        <row r="114">
          <cell r="B114" t="str">
            <v>90</v>
          </cell>
        </row>
        <row r="115">
          <cell r="B115" t="str">
            <v>91</v>
          </cell>
        </row>
        <row r="116">
          <cell r="B116" t="str">
            <v>92</v>
          </cell>
        </row>
        <row r="117">
          <cell r="B117" t="str">
            <v>93</v>
          </cell>
        </row>
        <row r="118">
          <cell r="B118" t="str">
            <v>94</v>
          </cell>
        </row>
        <row r="119">
          <cell r="B119" t="str">
            <v>95</v>
          </cell>
        </row>
        <row r="120">
          <cell r="B120" t="str">
            <v>96</v>
          </cell>
        </row>
        <row r="121">
          <cell r="B121" t="str">
            <v>97</v>
          </cell>
        </row>
        <row r="122">
          <cell r="B122" t="str">
            <v>98</v>
          </cell>
        </row>
        <row r="123">
          <cell r="B123" t="str">
            <v>99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0A3BC8-243B-42C0-8897-78576EAFB5B8}" name="Tabelle5" displayName="Tabelle5" ref="K18:AP169" tableType="xml" totalsRowShown="0" headerRowDxfId="37" dataDxfId="36" tableBorderDxfId="35" headerRowCellStyle="ZeN">
  <autoFilter ref="K18:AP169" xr:uid="{040A3BC8-243B-42C0-8897-78576EAFB5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3D156FE5-15B8-4B4D-A526-7D9DAA298BE7}" uniqueName="LER.LER_02.CPN" name="K" dataDxfId="34">
      <xmlColumnPr mapId="5" xpath="/xml/Report/Werte/LER.LER_02/LER.LER_02Items/LER.LER_02.CPN" xmlDataType="string"/>
    </tableColumn>
    <tableColumn id="2" xr3:uid="{DBCB32C2-057B-4D40-8F90-E6B9FD3D2918}" uniqueName="LER.LER_02.COD" name="L" dataDxfId="33">
      <xmlColumnPr mapId="5" xpath="/xml/Report/Werte/LER.LER_02/LER.LER_02Items/LER.LER_02.COD" xmlDataType="string"/>
    </tableColumn>
    <tableColumn id="3" xr3:uid="{AB8AEA75-1648-4D13-91C4-573B8A6967F1}" uniqueName="LER.LER_02.LEI" name="M" dataDxfId="32">
      <xmlColumnPr mapId="5" xpath="/xml/Report/Werte/LER.LER_02/LER.LER_02Items/LER.LER_02.LEI" xmlDataType="string"/>
    </tableColumn>
    <tableColumn id="4" xr3:uid="{F56C7AF8-BCEF-4FF6-8994-281499895E14}" uniqueName="LER.LER_02.UID" name="N" dataDxfId="31">
      <xmlColumnPr mapId="5" xpath="/xml/Report/Werte/LER.LER_02/LER.LER_02Items/LER.LER_02.UID" xmlDataType="string"/>
    </tableColumn>
    <tableColumn id="5" xr3:uid="{1959048D-4704-4362-A94B-61ADF6F44DB8}" uniqueName="LER.LER_02.ID" name="O" dataDxfId="30">
      <xmlColumnPr mapId="5" xpath="/xml/Report/Werte/LER.LER_02/LER.LER_02Items/LER.LER_02.ID" xmlDataType="string"/>
    </tableColumn>
    <tableColumn id="6" xr3:uid="{46837419-A41C-4AF7-B09D-E76289FDC945}" uniqueName="LER.LER_02.CPT" name="P" dataDxfId="29">
      <xmlColumnPr mapId="5" xpath="/xml/Report/Werte/LER.LER_02/LER.LER_02Items/LER.LER_02.CPT" xmlDataType="string"/>
    </tableColumn>
    <tableColumn id="7" xr3:uid="{501D3E9A-FA87-4E97-8E69-98A860D9A71C}" uniqueName="LER.LER_02.AP" name="Q" dataDxfId="28">
      <xmlColumnPr mapId="5" xpath="/xml/Report/Werte/LER.LER_02/LER.LER_02Items/LER.LER_02.AP" xmlDataType="string"/>
    </tableColumn>
    <tableColumn id="8" xr3:uid="{0170B183-C119-439C-B01C-D11D131D3C66}" uniqueName="LER.LER_02.NOG" name="R" dataDxfId="27">
      <xmlColumnPr mapId="5" xpath="/xml/Report/Werte/LER.LER_02/LER.LER_02Items/LER.LER_02.NOG" xmlDataType="string"/>
    </tableColumn>
    <tableColumn id="9" xr3:uid="{598C39AF-12C3-424C-B998-93E945E4F968}" uniqueName="LER.LER_02.ICG" name="S" dataDxfId="26">
      <xmlColumnPr mapId="5" xpath="/xml/Report/Werte/LER.LER_02/LER.LER_02Items/LER.LER_02.ICG" xmlDataType="string"/>
    </tableColumn>
    <tableColumn id="10" xr3:uid="{9712DC33-02DA-44F8-8637-40DEA466D110}" uniqueName="LER.LER_02.SPP" name="T" dataDxfId="25">
      <xmlColumnPr mapId="5" xpath="/xml/Report/Werte/LER.LER_02/LER.LER_02Items/LER.LER_02.SPP" xmlDataType="double"/>
    </tableColumn>
    <tableColumn id="11" xr3:uid="{69A5C659-DE2C-468D-9395-577B1791F481}" uniqueName="LER.LER_02.DIP.OBP" name="U" dataDxfId="24">
      <xmlColumnPr mapId="5" xpath="/xml/Report/Werte/LER.LER_02/LER.LER_02Items/LER.LER_02.DIP.OBP" xmlDataType="double"/>
    </tableColumn>
    <tableColumn id="12" xr3:uid="{7C1B8559-8FAC-4034-8F99-1ABBD5580498}" uniqueName="LER.LER_02.DIP.CED" name="V" dataDxfId="23">
      <xmlColumnPr mapId="5" xpath="/xml/Report/Werte/LER.LER_02/LER.LER_02Items/LER.LER_02.DIP.CED" xmlDataType="double"/>
    </tableColumn>
    <tableColumn id="13" xr3:uid="{73D9568C-C711-4D59-A8F6-FA93D0A4CE7D}" uniqueName="LER.LER_02.DIP.CES" name="W" dataDxfId="22">
      <xmlColumnPr mapId="5" xpath="/xml/Report/Werte/LER.LER_02/LER.LER_02Items/LER.LER_02.DIP.CES" xmlDataType="double"/>
    </tableColumn>
    <tableColumn id="14" xr3:uid="{38DC914C-27D0-4878-806C-B7E562874F62}" uniqueName="LER.LER_02.DIP.MOR" name="X" dataDxfId="21">
      <xmlColumnPr mapId="5" xpath="/xml/Report/Werte/LER.LER_02/LER.LER_02Items/LER.LER_02.DIP.MOR" xmlDataType="double"/>
    </tableColumn>
    <tableColumn id="15" xr3:uid="{F6BECBD9-833E-498B-A10F-5CDA96C7C0E4}" uniqueName="LER.LER_02.DIP.UAS" name="Y" dataDxfId="20">
      <xmlColumnPr mapId="5" xpath="/xml/Report/Werte/LER.LER_02/LER.LER_02Items/LER.LER_02.DIP.UAS" xmlDataType="double"/>
    </tableColumn>
    <tableColumn id="16" xr3:uid="{3D9A934A-DA41-41CB-81F9-3807870194E3}" uniqueName="LER.LER_02.DIP.OTH" name="Z" dataDxfId="19">
      <xmlColumnPr mapId="5" xpath="/xml/Report/Werte/LER.LER_02/LER.LER_02Items/LER.LER_02.DIP.OTH" xmlDataType="double"/>
    </tableColumn>
    <tableColumn id="17" xr3:uid="{48ADFC4A-8B37-4E2C-8F97-9911C7345298}" uniqueName="LER.LER_02.INP.FIC" name="AA" dataDxfId="18">
      <xmlColumnPr mapId="5" xpath="/xml/Report/Werte/LER.LER_02/LER.LER_02Items/LER.LER_02.INP.FIC" xmlDataType="double"/>
    </tableColumn>
    <tableColumn id="18" xr3:uid="{3B37D299-EAA9-4826-9DF0-EE484580B006}" uniqueName="LER.LER_02.INP.GCD" name="AB" dataDxfId="17">
      <xmlColumnPr mapId="5" xpath="/xml/Report/Werte/LER.LER_02/LER.LER_02Items/LER.LER_02.INP.GCD" xmlDataType="double"/>
    </tableColumn>
    <tableColumn id="19" xr3:uid="{B51850CE-FFE2-4B99-80D5-6B854B342126}" uniqueName="LER.LER_02.PBR" name="AC" dataDxfId="16">
      <xmlColumnPr mapId="5" xpath="/xml/Report/Werte/LER.LER_02/LER.LER_02Items/LER.LER_02.PBR" xmlDataType="double"/>
    </tableColumn>
    <tableColumn id="20" xr3:uid="{056A1CB5-BFE2-41F8-8AF3-F2B6812F3149}" uniqueName="LER.LER_02.CRM.NET" name="AD" dataDxfId="15">
      <xmlColumnPr mapId="5" xpath="/xml/Report/Werte/LER.LER_02/LER.LER_02Items/LER.LER_02.CRM.NET" xmlDataType="double"/>
    </tableColumn>
    <tableColumn id="21" xr3:uid="{44E864E6-5332-4B82-9B86-58EF2F14CF04}" uniqueName="LER.LER_02.CRM.CRD" name="AE" dataDxfId="14">
      <xmlColumnPr mapId="5" xpath="/xml/Report/Werte/LER.LER_02/LER.LER_02Items/LER.LER_02.CRM.CRD" xmlDataType="double"/>
    </tableColumn>
    <tableColumn id="22" xr3:uid="{6B7B145E-6C6B-4D7F-953A-34CBD69CAF22}" uniqueName="LER.LER_02.CRM.FIC" name="AF" dataDxfId="13">
      <xmlColumnPr mapId="5" xpath="/xml/Report/Werte/LER.LER_02/LER.LER_02Items/LER.LER_02.CRM.FIC" xmlDataType="double"/>
    </tableColumn>
    <tableColumn id="23" xr3:uid="{D96F581E-44C3-46D4-B8A1-949443498C10}" uniqueName="LER.LER_02.CRM.GUA" name="AG" dataDxfId="12">
      <xmlColumnPr mapId="5" xpath="/xml/Report/Werte/LER.LER_02/LER.LER_02Items/LER.LER_02.CRM.GUA" xmlDataType="double"/>
    </tableColumn>
    <tableColumn id="24" xr3:uid="{B24226FE-8DAD-4BE5-A2BF-BCD7C9230ED1}" uniqueName="LER.LER_02.TOP" name="AH" dataDxfId="11">
      <xmlColumnPr mapId="5" xpath="/xml/Report/Werte/LER.LER_02/LER.LER_02Items/LER.LER_02.TOP" xmlDataType="double"/>
    </tableColumn>
    <tableColumn id="25" xr3:uid="{E15A1B7E-3ACE-48EE-8539-C3D1DD97FE4C}" uniqueName="LER.LER_02.TAP" name="AI" dataDxfId="10">
      <xmlColumnPr mapId="5" xpath="/xml/Report/Werte/LER.LER_02/LER.LER_02Items/LER.LER_02.TAP" xmlDataType="double"/>
    </tableColumn>
    <tableColumn id="26" xr3:uid="{B3DB4278-F402-4683-91E4-CE3997804C55}" uniqueName="LER.LER_02.TCB" name="AJ" dataDxfId="9">
      <calculatedColumnFormula>IF(P19="","",IFERROR(ROUND(IF(OR(P19="G0B",P19="G0T"),Tabelle5[[#This Row],[AI]]/SUM(LER_01!$L$26:$L$27),Tabelle5[[#This Row],[AI]]/(SUM(LER_01!$K$26:$K$27)+IF(LER_01!$D$10&gt;=4,SUM(LER_01!$M$26:$M$27)))),3),""))</calculatedColumnFormula>
      <xmlColumnPr mapId="5" xpath="/xml/Report/Werte/LER.LER_02/LER.LER_02Items/LER.LER_02.TCB" xmlDataType="double"/>
    </tableColumn>
    <tableColumn id="27" xr3:uid="{DA8BBD31-4F0E-4EAA-BB37-21965C958BC6}" uniqueName="LER.LER_02.UCB" name="AK" dataDxfId="8">
      <calculatedColumnFormula>IF(P19="","",IF(OR(P19="SOV",P19="SOB",P19="G0T",P19="G0B"),"",IF(AND(OR(P19="BSS",P19="BFS"),LER_01!$D$10&lt;=2),15%,IF(AND(OR(P19="BSN",P19="BFN"),LER_01!$D$10&gt;=4),100%,25%))))</calculatedColumnFormula>
      <xmlColumnPr mapId="5" xpath="/xml/Report/Werte/LER.LER_02/LER.LER_02Items/LER.LER_02.UCB" xmlDataType="double"/>
    </tableColumn>
    <tableColumn id="28" xr3:uid="{012E9F5E-1AC3-4B04-85F2-F83487342B8A}" uniqueName="LER.LER_02.ECB" name="AL" dataDxfId="7">
      <xmlColumnPr mapId="5" xpath="/xml/Report/Werte/LER.LER_02/LER.LER_02Items/LER.LER_02.ECB" xmlDataType="double"/>
    </tableColumn>
    <tableColumn id="29" xr3:uid="{AEE1C0F5-7F0E-4866-AECE-AE47A715DF7C}" uniqueName="LER.LER_02.PRM.TAP" name="AM" dataDxfId="6">
      <xmlColumnPr mapId="5" xpath="/xml/Report/Werte/LER.LER_02/LER.LER_02Items/LER.LER_02.PRM.TAP" xmlDataType="double"/>
    </tableColumn>
    <tableColumn id="30" xr3:uid="{756453FF-64A7-43FC-9F56-AD87EB0EBAA7}" uniqueName="LER.LER_02.PRM.TAI" name="AN" dataDxfId="5">
      <xmlColumnPr mapId="5" xpath="/xml/Report/Werte/LER.LER_02/LER.LER_02Items/LER.LER_02.PRM.TAI" xmlDataType="double"/>
    </tableColumn>
    <tableColumn id="31" xr3:uid="{4B0CF709-A774-4228-8295-25E65D1632A1}" uniqueName="LER.LER_02.PRM.EGP" name="AO" dataDxfId="4">
      <xmlColumnPr mapId="5" xpath="/xml/Report/Werte/LER.LER_02/LER.LER_02Items/LER.LER_02.PRM.EGP" xmlDataType="date"/>
    </tableColumn>
    <tableColumn id="32" xr3:uid="{50B83DCA-3B31-4CD8-97AD-181F431880C2}" uniqueName="LER.LER_02.COM" name="AP" dataDxfId="3">
      <xmlColumnPr mapId="5" xpath="/xml/Report/Werte/LER.LER_02/LER.LER_02Items/LER.LER_02.COM" xmlDataType="string"/>
    </tableColumn>
  </tableColumns>
  <tableStyleInfo name="TableStyleMedium2" showFirstColumn="0" showLastColumn="0" showRowStripes="0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" xr6:uid="{579C52F6-EB74-489B-B276-E6FBC1C4746B}" r="D26" connectionId="0">
    <xmlCellPr id="1" xr6:uid="{2123E7FA-C621-47E6-9CF4-C1F258443967}" uniqueName="XmlValidationErrors">
      <xmlPr mapId="5" xpath="/xml/Report/XmlValidationErrors" xmlDataType="integer"/>
    </xmlCellPr>
  </singleXmlCell>
  <singleXmlCell id="2" xr6:uid="{DD443F65-DDFD-41E6-80DD-AD3D8323C15E}" r="E26" connectionId="0">
    <xmlCellPr id="1" xr6:uid="{0C86D1C3-7C08-459D-B899-CD86AAB7095E}" uniqueName="XmlValidationWarnings">
      <xmlPr mapId="5" xpath="/xml/Report/XmlValidationWarnings" xmlDataType="integer"/>
    </xmlCellPr>
  </singleXmlCell>
  <singleXmlCell id="3" xr6:uid="{67F3641C-80BC-44E8-B690-2F4EF40A5676}" r="H1" connectionId="0">
    <xmlCellPr id="1" xr6:uid="{E39A8888-F331-4663-9EA9-79279DE00025}" uniqueName="Survey">
      <xmlPr mapId="5" xpath="/xml/Report/Survey" xmlDataType="string"/>
    </xmlCellPr>
  </singleXmlCell>
  <singleXmlCell id="4" xr6:uid="{EC2CD7C3-49B1-4C8F-9BAE-FDD7911855F6}" r="H2" connectionId="0">
    <xmlCellPr id="1" xr6:uid="{BF80601B-DAF2-4B92-BAB9-C77FD1718D4D}" uniqueName="Workbook">
      <xmlPr mapId="5" xpath="/xml/Report/Workbook" xmlDataType="string"/>
    </xmlCellPr>
  </singleXmlCell>
  <singleXmlCell id="6" xr6:uid="{4E0FB31A-69D7-4207-ADD8-2DACA185C423}" r="H3" connectionId="0">
    <xmlCellPr id="1" xr6:uid="{8E95A612-8B1E-42EE-A616-23230C7F75FD}" uniqueName="Version">
      <xmlPr mapId="5" xpath="/xml/Report/Version" xmlDataType="double"/>
    </xmlCellPr>
  </singleXmlCell>
  <singleXmlCell id="7" xr6:uid="{C29462BF-FC1A-4E8A-99CC-3F748FE63D62}" r="H4" connectionId="0">
    <xmlCellPr id="1" xr6:uid="{D8C08B5A-5135-4A86-947E-2DC8EF3B7AEF}" uniqueName="FinmaCode">
      <xmlPr mapId="5" xpath="/xml/Report/FinmaCode" xmlDataType="integer"/>
    </xmlCellPr>
  </singleXmlCell>
  <singleXmlCell id="8" xr6:uid="{69F60D12-89FA-42ED-B0AF-D1103CE88D5B}" r="H5" connectionId="0">
    <xmlCellPr id="1" xr6:uid="{EA953317-EC8E-43B1-8B4A-D918C55F0506}" uniqueName="ReportingDate">
      <xmlPr mapId="5" xpath="/xml/Report/ReportingDate" xmlDataType="date"/>
    </xmlCellPr>
  </singleXmlCell>
  <singleXmlCell id="9" xr6:uid="{22508313-955A-44FD-9229-FD9C159AD0AB}" r="H6" connectionId="0">
    <xmlCellPr id="1" xr6:uid="{678174CF-1250-48CF-B763-44081E0DAC8D}" uniqueName="ReportingLevel">
      <xmlPr mapId="5" xpath="/xml/Report/ReportingLevel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0" xr6:uid="{53BC6D77-A250-426F-9056-BDDBAE849F72}" r="D10" connectionId="0">
    <xmlCellPr id="1" xr6:uid="{5C14C13B-431B-4250-B1CC-A0D17F1A3DC4}" uniqueName="LER.LER_01.KAT">
      <xmlPr mapId="5" xpath="/xml/Report/Werte/LER.LER_01/LER.LER_01.KAT" xmlDataType="integer"/>
    </xmlCellPr>
  </singleXmlCell>
  <singleXmlCell id="11" xr6:uid="{A70C9A5B-9A41-4882-95A7-F3D2592A7C96}" r="K26" connectionId="0">
    <xmlCellPr id="1" xr6:uid="{F405BBE0-6543-4094-87D6-D59D23C290B1}" uniqueName="LER.LER_01.CPB.T1C_CUP">
      <xmlPr mapId="5" xpath="/xml/Report/Werte/LER.LER_01/LER.LER_01.CPB.T1C_CUP" xmlDataType="double"/>
    </xmlCellPr>
  </singleXmlCell>
  <singleXmlCell id="12" xr6:uid="{72CD7376-E88F-4C63-AF72-2B839537AB8A}" r="K27" connectionId="0">
    <xmlCellPr id="1" xr6:uid="{741D7FF8-6957-41AF-8E99-6AE513263B8A}" uniqueName="LER.LER_01.CPB.T1C_PRP">
      <xmlPr mapId="5" xpath="/xml/Report/Werte/LER.LER_01/LER.LER_01.CPB.T1C_PRP" xmlDataType="double"/>
    </xmlCellPr>
  </singleXmlCell>
  <singleXmlCell id="13" xr6:uid="{DC16E0B5-B854-49E4-B1EE-E2A5F9F7FEEA}" r="L26" connectionId="0">
    <xmlCellPr id="1" xr6:uid="{8C38DB3C-9350-4C05-AA87-937AFB204C13}" uniqueName="LER.LER_01.CPB.CT1_CUP">
      <xmlPr mapId="5" xpath="/xml/Report/Werte/LER.LER_01/LER.LER_01.CPB.CT1_CUP" xmlDataType="double"/>
    </xmlCellPr>
  </singleXmlCell>
  <singleXmlCell id="14" xr6:uid="{8E99B090-4DDF-4B26-A65C-CB2FA1D09ABB}" r="L27" connectionId="0">
    <xmlCellPr id="1" xr6:uid="{FC134D40-0427-4C32-A5A0-0EBB9819AFAF}" uniqueName="LER.LER_01.CPB.CT1_PRP">
      <xmlPr mapId="5" xpath="/xml/Report/Werte/LER.LER_01/LER.LER_01.CPB.CT1_PRP" xmlDataType="double"/>
    </xmlCellPr>
  </singleXmlCell>
  <singleXmlCell id="15" xr6:uid="{C7B6A867-BFED-4BEE-8A11-E58F7567B153}" r="M26" connectionId="0">
    <xmlCellPr id="1" xr6:uid="{72438B03-F058-41F3-9042-DA9D2C346AA9}" uniqueName="LER.LER_01.CPB.HIR_CUP">
      <xmlPr mapId="5" xpath="/xml/Report/Werte/LER.LER_01/LER.LER_01.CPB.HIR_CUP" xmlDataType="double"/>
    </xmlCellPr>
  </singleXmlCell>
  <singleXmlCell id="16" xr6:uid="{0F842F97-9125-4A1F-9320-5E36CACFFF4A}" r="M27" connectionId="0">
    <xmlCellPr id="1" xr6:uid="{C65C9F7D-0D90-4D2B-82DC-23745C96626E}" uniqueName="LER.LER_01.CPB.HIR_PRP">
      <xmlPr mapId="5" xpath="/xml/Report/Werte/LER.LER_01/LER.LER_01.CPB.HIR_PRP" xmlDataType="double"/>
    </xmlCellPr>
  </singleXmlCell>
</singleXmlCel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nma.ch/" TargetMode="External"/><Relationship Id="rId2" Type="http://schemas.openxmlformats.org/officeDocument/2006/relationships/hyperlink" Target="https://www.finma.ch/de/finma/digitaler-austausch-mit-der-finma/ehp,-c-,-gesuche,-meldungen-und-daten-einreichen-oder-%C3%A4nderung-bva-%C3%BCbermitteln/ehp-support/" TargetMode="External"/><Relationship Id="rId1" Type="http://schemas.openxmlformats.org/officeDocument/2006/relationships/hyperlink" Target="https://www.finma.ch/de/finma/digitaler-austausch-mit-der-finma/ehp,-c-,-gesuche,-meldungen-und-daten-einreichen-oder-%C3%A4nderung-bva-%C3%BCbermitteln/erhebungs--und-eingabeformulare/" TargetMode="External"/><Relationship Id="rId6" Type="http://schemas.openxmlformats.org/officeDocument/2006/relationships/tableSingleCells" Target="../tables/tableSingleCells1.xml"/><Relationship Id="rId5" Type="http://schemas.openxmlformats.org/officeDocument/2006/relationships/hyperlink" Target="mailto:large.exposure@finma.ch" TargetMode="External"/><Relationship Id="rId4" Type="http://schemas.openxmlformats.org/officeDocument/2006/relationships/hyperlink" Target="mailto:ehp_banken@finma.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SingleCells" Target="../tables/tableSingleCells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7F4B-4D56-46CB-85E7-07364B3E3B2E}">
  <dimension ref="B1:J39"/>
  <sheetViews>
    <sheetView tabSelected="1" workbookViewId="0">
      <selection activeCell="H11" sqref="H11"/>
    </sheetView>
  </sheetViews>
  <sheetFormatPr defaultColWidth="11.42578125" defaultRowHeight="12.75" x14ac:dyDescent="0.2"/>
  <cols>
    <col min="1" max="1" width="5.85546875" customWidth="1"/>
    <col min="2" max="2" width="13.5703125" customWidth="1"/>
    <col min="3" max="3" width="11.7109375" customWidth="1"/>
    <col min="4" max="4" width="16" customWidth="1"/>
    <col min="5" max="5" width="13.42578125" customWidth="1"/>
    <col min="6" max="6" width="12" customWidth="1"/>
    <col min="7" max="7" width="12.140625" customWidth="1"/>
    <col min="8" max="8" width="14.42578125" customWidth="1"/>
  </cols>
  <sheetData>
    <row r="1" spans="2:8" ht="14.1" customHeight="1" x14ac:dyDescent="0.2">
      <c r="G1" s="1" t="s">
        <v>0</v>
      </c>
      <c r="H1" s="2" t="s">
        <v>1</v>
      </c>
    </row>
    <row r="2" spans="2:8" ht="14.1" customHeight="1" x14ac:dyDescent="0.2">
      <c r="G2" s="1" t="s">
        <v>2</v>
      </c>
      <c r="H2" s="2" t="s">
        <v>1</v>
      </c>
    </row>
    <row r="3" spans="2:8" ht="14.1" customHeight="1" x14ac:dyDescent="0.2">
      <c r="G3" s="1" t="s">
        <v>3</v>
      </c>
      <c r="H3" s="96">
        <v>1.7</v>
      </c>
    </row>
    <row r="4" spans="2:8" ht="14.1" customHeight="1" x14ac:dyDescent="0.2">
      <c r="G4" s="1" t="s">
        <v>4</v>
      </c>
      <c r="H4" s="3"/>
    </row>
    <row r="5" spans="2:8" ht="14.1" customHeight="1" x14ac:dyDescent="0.2">
      <c r="G5" s="1" t="s">
        <v>5</v>
      </c>
      <c r="H5" s="4">
        <v>46203</v>
      </c>
    </row>
    <row r="6" spans="2:8" ht="14.1" customHeight="1" x14ac:dyDescent="0.2">
      <c r="G6" s="1" t="s">
        <v>6</v>
      </c>
      <c r="H6" s="2" t="s">
        <v>43</v>
      </c>
    </row>
    <row r="7" spans="2:8" ht="14.1" customHeight="1" x14ac:dyDescent="0.2">
      <c r="G7" s="1"/>
      <c r="H7" s="23"/>
    </row>
    <row r="8" spans="2:8" ht="12.6" customHeight="1" x14ac:dyDescent="0.2"/>
    <row r="9" spans="2:8" ht="18" customHeight="1" x14ac:dyDescent="0.25">
      <c r="B9" s="5" t="s">
        <v>7</v>
      </c>
    </row>
    <row r="10" spans="2:8" ht="12.6" customHeight="1" x14ac:dyDescent="0.2"/>
    <row r="11" spans="2:8" ht="15.6" customHeight="1" x14ac:dyDescent="0.25">
      <c r="B11" s="6" t="str">
        <f>IF(H6="K", "Group", "Parent")</f>
        <v>Group</v>
      </c>
    </row>
    <row r="12" spans="2:8" ht="12.6" customHeight="1" x14ac:dyDescent="0.2"/>
    <row r="13" spans="2:8" ht="14.1" customHeight="1" x14ac:dyDescent="0.2">
      <c r="B13" s="7"/>
      <c r="C13" s="7"/>
      <c r="D13" s="8" t="s">
        <v>8</v>
      </c>
      <c r="E13" s="9"/>
      <c r="F13" s="9"/>
      <c r="G13" s="9"/>
    </row>
    <row r="14" spans="2:8" ht="14.1" customHeight="1" x14ac:dyDescent="0.2">
      <c r="B14" t="s">
        <v>9</v>
      </c>
      <c r="C14" s="7"/>
      <c r="D14" s="97"/>
      <c r="E14" s="97"/>
      <c r="F14" s="97"/>
      <c r="G14" s="97"/>
    </row>
    <row r="15" spans="2:8" ht="14.25" x14ac:dyDescent="0.2">
      <c r="B15" t="s">
        <v>10</v>
      </c>
      <c r="C15" s="7"/>
      <c r="D15" s="97"/>
      <c r="E15" s="97"/>
      <c r="F15" s="97"/>
      <c r="G15" s="97"/>
    </row>
    <row r="16" spans="2:8" ht="14.25" x14ac:dyDescent="0.2">
      <c r="B16" t="s">
        <v>11</v>
      </c>
      <c r="C16" s="7"/>
      <c r="D16" s="97"/>
      <c r="E16" s="97"/>
      <c r="F16" s="97"/>
      <c r="G16" s="97"/>
    </row>
    <row r="17" spans="2:10" ht="14.25" x14ac:dyDescent="0.2">
      <c r="B17" t="s">
        <v>12</v>
      </c>
      <c r="C17" s="7"/>
      <c r="D17" s="97"/>
      <c r="E17" s="97"/>
      <c r="F17" s="97"/>
      <c r="G17" s="97"/>
    </row>
    <row r="18" spans="2:10" ht="14.25" x14ac:dyDescent="0.2">
      <c r="B18" t="s">
        <v>13</v>
      </c>
      <c r="C18" s="7"/>
      <c r="D18" s="97"/>
      <c r="E18" s="97"/>
      <c r="F18" s="97"/>
      <c r="G18" s="97"/>
    </row>
    <row r="19" spans="2:10" ht="14.25" x14ac:dyDescent="0.2">
      <c r="B19" t="s">
        <v>14</v>
      </c>
      <c r="C19" s="7"/>
      <c r="D19" s="97"/>
      <c r="E19" s="97"/>
      <c r="F19" s="97"/>
      <c r="G19" s="97"/>
    </row>
    <row r="20" spans="2:10" ht="14.25" x14ac:dyDescent="0.2">
      <c r="B20" t="s">
        <v>15</v>
      </c>
      <c r="C20" s="7"/>
      <c r="D20" s="97"/>
      <c r="E20" s="97"/>
      <c r="F20" s="97"/>
      <c r="G20" s="97"/>
    </row>
    <row r="22" spans="2:10" ht="14.25" x14ac:dyDescent="0.2">
      <c r="B22" s="10" t="s">
        <v>16</v>
      </c>
      <c r="C22" s="11"/>
      <c r="D22" s="12" t="s">
        <v>17</v>
      </c>
      <c r="E22" s="12" t="s">
        <v>18</v>
      </c>
    </row>
    <row r="23" spans="2:10" x14ac:dyDescent="0.2">
      <c r="B23" s="13" t="s">
        <v>19</v>
      </c>
      <c r="C23" s="14"/>
      <c r="D23" s="15">
        <f>[0]!Konsi_Errors_01</f>
        <v>0</v>
      </c>
      <c r="E23" s="15"/>
    </row>
    <row r="24" spans="2:10" x14ac:dyDescent="0.2">
      <c r="B24" s="13" t="s">
        <v>20</v>
      </c>
      <c r="C24" s="14"/>
      <c r="D24" s="15">
        <f>[0]!Konsi_Errors</f>
        <v>0</v>
      </c>
      <c r="E24" s="15">
        <f>[0]!Konsi_Warnings</f>
        <v>0</v>
      </c>
    </row>
    <row r="25" spans="2:10" x14ac:dyDescent="0.2">
      <c r="B25" s="13"/>
      <c r="C25" s="14"/>
      <c r="D25" s="15"/>
      <c r="E25" s="15"/>
    </row>
    <row r="26" spans="2:10" ht="13.5" thickBot="1" x14ac:dyDescent="0.25">
      <c r="B26" s="16" t="s">
        <v>21</v>
      </c>
      <c r="C26" s="17"/>
      <c r="D26" s="18">
        <f>SUM(D23:D24)</f>
        <v>0</v>
      </c>
      <c r="E26" s="19">
        <f>SUM(E24:E24)</f>
        <v>0</v>
      </c>
    </row>
    <row r="27" spans="2:10" ht="13.5" thickTop="1" x14ac:dyDescent="0.2"/>
    <row r="28" spans="2:10" x14ac:dyDescent="0.2">
      <c r="B28" s="20" t="s">
        <v>638</v>
      </c>
    </row>
    <row r="29" spans="2:10" x14ac:dyDescent="0.2">
      <c r="B29" t="s">
        <v>32</v>
      </c>
      <c r="H29" s="27" t="s">
        <v>22</v>
      </c>
      <c r="I29" s="25"/>
      <c r="J29" s="25"/>
    </row>
    <row r="30" spans="2:10" x14ac:dyDescent="0.2">
      <c r="B30" t="s">
        <v>23</v>
      </c>
      <c r="H30" s="27" t="s">
        <v>24</v>
      </c>
      <c r="I30" s="25"/>
      <c r="J30" s="25"/>
    </row>
    <row r="31" spans="2:10" x14ac:dyDescent="0.2">
      <c r="B31" t="s">
        <v>33</v>
      </c>
      <c r="H31" s="28"/>
    </row>
    <row r="32" spans="2:10" x14ac:dyDescent="0.2">
      <c r="B32" t="str">
        <f>"the following details: your FINMA code ("&amp;H4&amp;"), survey ("&amp;H1&amp;") and reporting date ("&amp;IF(ISTEXT(H5),H5,DAY(H5)&amp;"."&amp;MONTH(H5)&amp;"."&amp;YEAR(H5))&amp;")."</f>
        <v>the following details: your FINMA code (), survey (LER) and reporting date (30.6.2026).</v>
      </c>
      <c r="H32" s="28"/>
    </row>
    <row r="33" spans="2:9" x14ac:dyDescent="0.2">
      <c r="B33" s="21"/>
      <c r="C33" s="22"/>
      <c r="D33" s="22"/>
      <c r="E33" s="22"/>
      <c r="F33" s="22"/>
      <c r="G33" s="22"/>
      <c r="H33" s="22"/>
    </row>
    <row r="34" spans="2:9" ht="14.25" x14ac:dyDescent="0.2">
      <c r="B34" s="7"/>
      <c r="C34" s="7"/>
      <c r="D34" s="7"/>
      <c r="E34" s="7"/>
      <c r="F34" s="7"/>
      <c r="G34" s="7"/>
      <c r="H34" s="7"/>
    </row>
    <row r="35" spans="2:9" x14ac:dyDescent="0.2">
      <c r="B35" s="24" t="s">
        <v>25</v>
      </c>
      <c r="H35" s="27" t="s">
        <v>26</v>
      </c>
      <c r="I35" s="25"/>
    </row>
    <row r="36" spans="2:9" x14ac:dyDescent="0.2">
      <c r="B36" t="s">
        <v>27</v>
      </c>
      <c r="H36" s="26"/>
      <c r="I36" s="25"/>
    </row>
    <row r="37" spans="2:9" x14ac:dyDescent="0.2">
      <c r="B37" t="s">
        <v>28</v>
      </c>
      <c r="F37" s="28" t="s">
        <v>29</v>
      </c>
      <c r="H37" s="27" t="s">
        <v>34</v>
      </c>
      <c r="I37" s="25"/>
    </row>
    <row r="38" spans="2:9" x14ac:dyDescent="0.2">
      <c r="B38" t="s">
        <v>30</v>
      </c>
      <c r="F38" s="28" t="s">
        <v>31</v>
      </c>
      <c r="H38" s="27" t="s">
        <v>637</v>
      </c>
      <c r="I38" s="25"/>
    </row>
    <row r="39" spans="2:9" x14ac:dyDescent="0.2">
      <c r="H39" s="28"/>
    </row>
  </sheetData>
  <sheetProtection sheet="1" objects="1" scenarios="1"/>
  <mergeCells count="7">
    <mergeCell ref="D20:G20"/>
    <mergeCell ref="D14:G14"/>
    <mergeCell ref="D15:G15"/>
    <mergeCell ref="D16:G16"/>
    <mergeCell ref="D17:G17"/>
    <mergeCell ref="D18:G18"/>
    <mergeCell ref="D19:G19"/>
  </mergeCells>
  <conditionalFormatting sqref="B22:E22">
    <cfRule type="expression" dxfId="2" priority="3" stopIfTrue="1">
      <formula>$D39&gt;0</formula>
    </cfRule>
  </conditionalFormatting>
  <conditionalFormatting sqref="D23:E24">
    <cfRule type="cellIs" dxfId="1" priority="5" stopIfTrue="1" operator="greaterThan">
      <formula>0</formula>
    </cfRule>
  </conditionalFormatting>
  <conditionalFormatting sqref="D26:E26">
    <cfRule type="cellIs" dxfId="0" priority="4" stopIfTrue="1" operator="greaterThan">
      <formula>0</formula>
    </cfRule>
  </conditionalFormatting>
  <hyperlinks>
    <hyperlink ref="H29" r:id="rId1" xr:uid="{A20A340B-269C-4A92-BFE9-8994340C0E55}"/>
    <hyperlink ref="H30" r:id="rId2" xr:uid="{4759D10E-C919-41B8-94E6-2E1116E1C88C}"/>
    <hyperlink ref="H35" r:id="rId3" xr:uid="{CCF22F7E-65EA-4182-86E0-301E613E2FF1}"/>
    <hyperlink ref="H37" r:id="rId4" xr:uid="{664453BD-5756-4B60-9F4F-F71F61DC22C4}"/>
    <hyperlink ref="H38" r:id="rId5" xr:uid="{A1FE1204-9A65-4BBF-9B0B-D2EE051F8D52}"/>
  </hyperlinks>
  <pageMargins left="0.7" right="0.7" top="0.78740157499999996" bottom="0.78740157499999996" header="0.3" footer="0.3"/>
  <headerFooter>
    <oddFooter>&amp;C_x000D_&amp;1#&amp;"Calibri"&amp;10&amp;K000000 Classification: EFG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DB58-C8BC-41B5-B75E-D734D4F37A43}">
  <dimension ref="B1:X28"/>
  <sheetViews>
    <sheetView topLeftCell="B1" zoomScaleNormal="100" workbookViewId="0">
      <pane xSplit="9" ySplit="25" topLeftCell="K26" activePane="bottomRight" state="frozen"/>
      <selection activeCell="B1" sqref="B1"/>
      <selection pane="topRight" activeCell="K1" sqref="K1"/>
      <selection pane="bottomLeft" activeCell="B26" sqref="B26"/>
      <selection pane="bottomRight" activeCell="C37" sqref="C37"/>
    </sheetView>
  </sheetViews>
  <sheetFormatPr defaultColWidth="11.42578125" defaultRowHeight="12.75" x14ac:dyDescent="0.2"/>
  <cols>
    <col min="1" max="1" width="0" hidden="1" customWidth="1"/>
    <col min="2" max="2" width="14.140625" bestFit="1" customWidth="1"/>
    <col min="3" max="3" width="3.140625" customWidth="1"/>
    <col min="4" max="4" width="12.85546875" bestFit="1" customWidth="1"/>
    <col min="6" max="10" width="0" hidden="1" customWidth="1"/>
    <col min="11" max="13" width="15.7109375" customWidth="1"/>
    <col min="14" max="14" width="1.7109375" customWidth="1"/>
    <col min="15" max="15" width="12.5703125" bestFit="1" customWidth="1"/>
    <col min="16" max="16" width="17.7109375" customWidth="1"/>
  </cols>
  <sheetData>
    <row r="1" spans="2:16" ht="29.1" customHeight="1" x14ac:dyDescent="0.2">
      <c r="O1" s="1" t="s">
        <v>38</v>
      </c>
      <c r="P1" s="33" t="s">
        <v>19</v>
      </c>
    </row>
    <row r="2" spans="2:16" ht="26.1" customHeight="1" x14ac:dyDescent="0.2">
      <c r="O2" s="1" t="s">
        <v>4</v>
      </c>
      <c r="P2" s="33">
        <f>'Delivery Note'!H4</f>
        <v>0</v>
      </c>
    </row>
    <row r="3" spans="2:16" ht="17.100000000000001" customHeight="1" x14ac:dyDescent="0.2">
      <c r="O3" s="1" t="s">
        <v>5</v>
      </c>
      <c r="P3" s="34">
        <f>'Delivery Note'!H5</f>
        <v>46203</v>
      </c>
    </row>
    <row r="4" spans="2:16" ht="24.6" customHeight="1" x14ac:dyDescent="0.2">
      <c r="O4" s="1" t="s">
        <v>6</v>
      </c>
      <c r="P4" s="2" t="str">
        <f>'Delivery Note'!H6</f>
        <v>K</v>
      </c>
    </row>
    <row r="9" spans="2:16" ht="20.45" customHeight="1" x14ac:dyDescent="0.2">
      <c r="B9" s="29" t="s">
        <v>35</v>
      </c>
      <c r="C9" s="30"/>
      <c r="D9" s="32">
        <f>COUNTIF(R26:X27,"ERROR")</f>
        <v>0</v>
      </c>
    </row>
    <row r="10" spans="2:16" ht="20.100000000000001" customHeight="1" x14ac:dyDescent="0.2">
      <c r="B10" s="29" t="s">
        <v>36</v>
      </c>
      <c r="C10" s="31">
        <v>10</v>
      </c>
      <c r="D10">
        <v>3</v>
      </c>
      <c r="K10" t="s">
        <v>37</v>
      </c>
    </row>
    <row r="11" spans="2:16" hidden="1" x14ac:dyDescent="0.2"/>
    <row r="12" spans="2:16" hidden="1" x14ac:dyDescent="0.2"/>
    <row r="13" spans="2:16" hidden="1" x14ac:dyDescent="0.2"/>
    <row r="14" spans="2:16" hidden="1" x14ac:dyDescent="0.2"/>
    <row r="15" spans="2:16" hidden="1" x14ac:dyDescent="0.2"/>
    <row r="16" spans="2:16" hidden="1" x14ac:dyDescent="0.2"/>
    <row r="17" spans="2:24" hidden="1" x14ac:dyDescent="0.2"/>
    <row r="18" spans="2:24" hidden="1" x14ac:dyDescent="0.2"/>
    <row r="20" spans="2:24" ht="22.5" customHeight="1" x14ac:dyDescent="0.2">
      <c r="B20" s="35"/>
      <c r="C20" s="35"/>
      <c r="D20" s="36"/>
      <c r="E20" s="39"/>
      <c r="F20" s="40"/>
      <c r="G20" s="40"/>
      <c r="H20" s="40"/>
      <c r="I20" s="40"/>
      <c r="J20" s="36"/>
      <c r="K20" s="98" t="s">
        <v>39</v>
      </c>
      <c r="L20" s="99"/>
      <c r="M20" s="100"/>
      <c r="N20" s="39"/>
      <c r="R20" s="61" t="s">
        <v>49</v>
      </c>
      <c r="S20" s="20"/>
      <c r="T20" s="61" t="s">
        <v>50</v>
      </c>
      <c r="U20" s="61" t="s">
        <v>51</v>
      </c>
      <c r="V20" s="61" t="s">
        <v>52</v>
      </c>
      <c r="W20" s="61" t="s">
        <v>53</v>
      </c>
      <c r="X20" s="61" t="s">
        <v>54</v>
      </c>
    </row>
    <row r="21" spans="2:24" ht="89.45" customHeight="1" x14ac:dyDescent="0.2">
      <c r="D21" s="37"/>
      <c r="E21" s="41"/>
      <c r="F21" s="42"/>
      <c r="G21" s="42"/>
      <c r="H21" s="42"/>
      <c r="I21" s="42"/>
      <c r="J21" s="37"/>
      <c r="K21" s="43" t="s">
        <v>46</v>
      </c>
      <c r="L21" s="44" t="s">
        <v>47</v>
      </c>
      <c r="M21" s="44" t="s">
        <v>48</v>
      </c>
      <c r="N21" s="41"/>
      <c r="R21" s="62" t="s">
        <v>36</v>
      </c>
      <c r="S21" s="20"/>
      <c r="T21" s="63" t="s">
        <v>55</v>
      </c>
      <c r="U21" s="63" t="s">
        <v>56</v>
      </c>
      <c r="V21" s="63" t="s">
        <v>57</v>
      </c>
      <c r="W21" s="62" t="s">
        <v>58</v>
      </c>
      <c r="X21" s="64" t="s">
        <v>59</v>
      </c>
    </row>
    <row r="22" spans="2:24" x14ac:dyDescent="0.2">
      <c r="B22" s="22"/>
      <c r="C22" s="22"/>
      <c r="D22" s="38"/>
      <c r="E22" s="41"/>
      <c r="F22" s="45"/>
      <c r="G22" s="45"/>
      <c r="H22" s="45"/>
      <c r="I22" s="45"/>
      <c r="J22" s="38"/>
      <c r="K22" s="31" t="s">
        <v>43</v>
      </c>
      <c r="L22" s="31" t="s">
        <v>44</v>
      </c>
      <c r="M22" s="31" t="s">
        <v>45</v>
      </c>
      <c r="N22" s="41"/>
    </row>
    <row r="23" spans="2:24" hidden="1" x14ac:dyDescent="0.2">
      <c r="B23" s="20"/>
      <c r="E23" s="46"/>
      <c r="F23" s="47"/>
      <c r="G23" s="47"/>
      <c r="H23" s="47"/>
      <c r="I23" s="47"/>
      <c r="J23" s="48"/>
      <c r="K23" s="49"/>
      <c r="L23" s="50"/>
      <c r="M23" s="50"/>
      <c r="N23" s="41"/>
    </row>
    <row r="24" spans="2:24" hidden="1" x14ac:dyDescent="0.2">
      <c r="B24" s="20"/>
      <c r="E24" s="46"/>
      <c r="F24" s="47"/>
      <c r="G24" s="47"/>
      <c r="H24" s="47"/>
      <c r="I24" s="47"/>
      <c r="J24" s="48"/>
      <c r="K24" s="48"/>
      <c r="L24" s="48"/>
      <c r="M24" s="48"/>
      <c r="N24" s="41"/>
    </row>
    <row r="25" spans="2:24" ht="15" hidden="1" x14ac:dyDescent="0.2">
      <c r="B25" s="20"/>
      <c r="C25" s="20"/>
      <c r="D25" s="51"/>
      <c r="E25" s="46"/>
      <c r="F25" s="47"/>
      <c r="G25" s="47"/>
      <c r="H25" s="47"/>
      <c r="I25" s="47"/>
      <c r="J25" s="48"/>
      <c r="K25" s="52"/>
      <c r="L25" s="52"/>
      <c r="M25" s="52"/>
      <c r="N25" s="46"/>
    </row>
    <row r="26" spans="2:24" ht="27.6" customHeight="1" x14ac:dyDescent="0.2">
      <c r="B26" s="92" t="s">
        <v>630</v>
      </c>
      <c r="C26" s="53"/>
      <c r="D26" s="54" t="s">
        <v>41</v>
      </c>
      <c r="E26" s="31">
        <v>26</v>
      </c>
      <c r="F26" s="47"/>
      <c r="G26" s="47"/>
      <c r="H26" s="47"/>
      <c r="I26" s="47"/>
      <c r="J26" s="48"/>
      <c r="K26" s="55">
        <v>1858372</v>
      </c>
      <c r="L26" s="56">
        <v>1507348</v>
      </c>
      <c r="M26" s="55"/>
      <c r="N26" s="31"/>
      <c r="R26" s="32" t="str">
        <f>IF(ISBLANK(D10),"ERROR","")</f>
        <v/>
      </c>
      <c r="S26" s="20"/>
      <c r="T26" s="32" t="str">
        <f>IF(ISBLANK(K26),IF(ISBLANK(M26),"","ERROR"),"")</f>
        <v/>
      </c>
      <c r="U26" s="32" t="str">
        <f>IF(ISBLANK(M26),"",IF(AND(OR($D$10=4,$D$10=5),M26&gt;0),"","ERROR"))</f>
        <v/>
      </c>
      <c r="V26" s="32" t="str">
        <f>IF(K26+K27&gt;0,IF(NOT(ISBLANK(K26)),IF(NOT(ISBLANK(K27)),"ERROR",""),""),"ERROR")</f>
        <v/>
      </c>
      <c r="W26" s="32" t="str">
        <f>IF(ISBLANK(K26),"",IF(K26-L26&lt;0,"ERROR",""))</f>
        <v/>
      </c>
      <c r="X26" s="32" t="str">
        <f>IF(ISBLANK(K26),"",IF(L26&lt;=0,"ERROR",""))</f>
        <v/>
      </c>
    </row>
    <row r="27" spans="2:24" ht="25.5" x14ac:dyDescent="0.2">
      <c r="B27" s="57" t="s">
        <v>40</v>
      </c>
      <c r="C27" s="53"/>
      <c r="D27" s="58" t="s">
        <v>42</v>
      </c>
      <c r="E27" s="31">
        <v>27</v>
      </c>
      <c r="F27" s="47"/>
      <c r="G27" s="47"/>
      <c r="H27" s="47"/>
      <c r="I27" s="47"/>
      <c r="J27" s="48"/>
      <c r="K27" s="55"/>
      <c r="L27" s="56"/>
      <c r="M27" s="55"/>
      <c r="N27" s="31"/>
      <c r="R27" s="20"/>
      <c r="S27" s="20"/>
      <c r="T27" s="32" t="str">
        <f>IF(ISBLANK(K27),IF(ISBLANK(M27),"","ERROR"),"")</f>
        <v/>
      </c>
      <c r="U27" s="32" t="str">
        <f>IF(ISBLANK(M27),"",IF(AND(OR($D$10=4,$D$10=5),M27&gt;0),"","ERROR"))</f>
        <v/>
      </c>
      <c r="V27" s="32" t="str">
        <f>IF(K26+K27&gt;0,IF(NOT(ISBLANK(K27)),IF(NOT(ISBLANK(K26)),"ERROR",""),""),"ERROR")</f>
        <v/>
      </c>
      <c r="W27" s="32" t="str">
        <f>IF(ISBLANK(K27),"",IF(K27-L27&lt;0,"ERROR",""))</f>
        <v/>
      </c>
      <c r="X27" s="32" t="str">
        <f>IF(ISBLANK(K27),"",IF(L27&lt;=0,"ERROR",""))</f>
        <v/>
      </c>
    </row>
    <row r="28" spans="2:24" ht="3.95" customHeight="1" x14ac:dyDescent="0.2">
      <c r="B28" s="20"/>
      <c r="C28" s="20"/>
      <c r="D28" s="59"/>
      <c r="E28" s="59"/>
      <c r="F28" s="60"/>
      <c r="G28" s="60"/>
      <c r="H28" s="60"/>
      <c r="I28" s="60"/>
      <c r="J28" s="59"/>
      <c r="K28" s="59"/>
      <c r="L28" s="59"/>
      <c r="M28" s="59"/>
      <c r="N28" s="59"/>
    </row>
  </sheetData>
  <sheetProtection sheet="1" objects="1" scenarios="1"/>
  <protectedRanges>
    <protectedRange sqref="K26:M27" name="CB"/>
    <protectedRange sqref="D10" name="Kat"/>
  </protectedRanges>
  <mergeCells count="1">
    <mergeCell ref="K20:M20"/>
  </mergeCells>
  <dataValidations count="1">
    <dataValidation type="list" allowBlank="1" showInputMessage="1" showErrorMessage="1" sqref="D10" xr:uid="{51D629A5-E856-4ABC-AF01-A60E1D6911CB}">
      <formula1>"1,2,3,4,5"</formula1>
    </dataValidation>
  </dataValidations>
  <printOptions gridLines="1"/>
  <pageMargins left="0.7" right="0.7" top="0.78740157499999996" bottom="0.78740157499999996" header="0.3" footer="0.3"/>
  <pageSetup paperSize="9" orientation="portrait" verticalDpi="0" r:id="rId1"/>
  <headerFooter>
    <oddFooter>&amp;C_x000D_&amp;1#&amp;"Calibri"&amp;10&amp;K000000 Classification: EFG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9CF9-F718-4240-8839-AF9813D03F75}">
  <dimension ref="B1:BE170"/>
  <sheetViews>
    <sheetView topLeftCell="B1" zoomScale="80" zoomScaleNormal="80" workbookViewId="0">
      <pane xSplit="9" ySplit="18" topLeftCell="AB30" activePane="bottomRight" state="frozen"/>
      <selection activeCell="B1" sqref="B1"/>
      <selection pane="topRight" activeCell="K1" sqref="K1"/>
      <selection pane="bottomLeft" activeCell="B19" sqref="B19"/>
      <selection pane="bottomRight" activeCell="AM1" sqref="AM1"/>
    </sheetView>
  </sheetViews>
  <sheetFormatPr defaultColWidth="11.42578125" defaultRowHeight="12.75" x14ac:dyDescent="0.2"/>
  <cols>
    <col min="1" max="1" width="0" hidden="1" customWidth="1"/>
    <col min="2" max="2" width="18" bestFit="1" customWidth="1"/>
    <col min="3" max="3" width="0" hidden="1" customWidth="1"/>
    <col min="6" max="10" width="0" hidden="1" customWidth="1"/>
    <col min="11" max="11" width="52.140625" customWidth="1"/>
    <col min="12" max="12" width="13.140625" customWidth="1"/>
    <col min="13" max="13" width="25.42578125" customWidth="1"/>
    <col min="14" max="14" width="22.5703125" customWidth="1"/>
    <col min="15" max="15" width="15.5703125" customWidth="1"/>
    <col min="16" max="16" width="16.28515625" customWidth="1"/>
    <col min="17" max="20" width="15.7109375" customWidth="1"/>
    <col min="21" max="23" width="15.85546875" customWidth="1"/>
    <col min="24" max="24" width="16.140625" customWidth="1"/>
    <col min="25" max="25" width="15.85546875" customWidth="1"/>
    <col min="26" max="26" width="15.7109375" customWidth="1"/>
    <col min="27" max="28" width="15.85546875" customWidth="1"/>
    <col min="29" max="29" width="17.85546875" customWidth="1"/>
    <col min="30" max="35" width="15.85546875" customWidth="1"/>
    <col min="36" max="37" width="16" customWidth="1"/>
    <col min="38" max="38" width="17.140625" customWidth="1"/>
    <col min="39" max="39" width="15.85546875" customWidth="1"/>
    <col min="40" max="40" width="17.140625" customWidth="1"/>
    <col min="41" max="41" width="15.85546875" customWidth="1"/>
    <col min="42" max="42" width="41.85546875" customWidth="1"/>
    <col min="43" max="43" width="1.42578125" customWidth="1"/>
    <col min="45" max="51" width="11.85546875" customWidth="1"/>
    <col min="52" max="52" width="13.140625" customWidth="1"/>
    <col min="53" max="57" width="11.85546875" customWidth="1"/>
  </cols>
  <sheetData>
    <row r="1" spans="2:57" ht="21.6" customHeight="1" x14ac:dyDescent="0.2">
      <c r="P1" s="1" t="s">
        <v>38</v>
      </c>
      <c r="Q1" s="33" t="s">
        <v>20</v>
      </c>
    </row>
    <row r="2" spans="2:57" ht="21.95" customHeight="1" x14ac:dyDescent="0.2">
      <c r="P2" s="1" t="s">
        <v>4</v>
      </c>
      <c r="Q2" s="33">
        <f>'Delivery Note'!H4</f>
        <v>0</v>
      </c>
    </row>
    <row r="3" spans="2:57" ht="21.6" customHeight="1" x14ac:dyDescent="0.2">
      <c r="P3" s="1" t="s">
        <v>5</v>
      </c>
      <c r="Q3" s="34">
        <f>'Delivery Note'!H5</f>
        <v>46203</v>
      </c>
    </row>
    <row r="4" spans="2:57" ht="21.6" customHeight="1" x14ac:dyDescent="0.2">
      <c r="P4" s="1" t="s">
        <v>6</v>
      </c>
      <c r="Q4" s="2" t="str">
        <f>'Delivery Note'!H6</f>
        <v>K</v>
      </c>
    </row>
    <row r="5" spans="2:57" ht="20.45" customHeight="1" x14ac:dyDescent="0.2">
      <c r="B5" s="29" t="s">
        <v>35</v>
      </c>
      <c r="C5" s="30"/>
      <c r="D5" s="65">
        <f>COUNTIF(AS19:BE169,"ERROR") + COUNTIF(AS19:BE169,"=Duplicate")</f>
        <v>0</v>
      </c>
      <c r="K5" t="s">
        <v>37</v>
      </c>
    </row>
    <row r="6" spans="2:57" ht="20.45" customHeight="1" x14ac:dyDescent="0.2">
      <c r="B6" s="29" t="s">
        <v>60</v>
      </c>
      <c r="C6" s="30"/>
      <c r="D6" s="65">
        <f>COUNTIF(AS19:BE169,"WARNING")</f>
        <v>0</v>
      </c>
    </row>
    <row r="7" spans="2:57" hidden="1" x14ac:dyDescent="0.2"/>
    <row r="8" spans="2:57" hidden="1" x14ac:dyDescent="0.2"/>
    <row r="9" spans="2:57" hidden="1" x14ac:dyDescent="0.2"/>
    <row r="10" spans="2:57" hidden="1" x14ac:dyDescent="0.2"/>
    <row r="11" spans="2:57" hidden="1" x14ac:dyDescent="0.2"/>
    <row r="12" spans="2:57" hidden="1" x14ac:dyDescent="0.2"/>
    <row r="13" spans="2:57" hidden="1" x14ac:dyDescent="0.2"/>
    <row r="14" spans="2:57" hidden="1" x14ac:dyDescent="0.2"/>
    <row r="16" spans="2:57" ht="34.5" customHeight="1" x14ac:dyDescent="0.2">
      <c r="B16" s="35"/>
      <c r="C16" s="35"/>
      <c r="D16" s="36"/>
      <c r="E16" s="39"/>
      <c r="F16" s="40"/>
      <c r="G16" s="40"/>
      <c r="H16" s="40"/>
      <c r="I16" s="40"/>
      <c r="J16" s="36"/>
      <c r="K16" s="101" t="s">
        <v>112</v>
      </c>
      <c r="L16" s="110" t="s">
        <v>113</v>
      </c>
      <c r="M16" s="112" t="s">
        <v>114</v>
      </c>
      <c r="N16" s="112" t="s">
        <v>115</v>
      </c>
      <c r="O16" s="112" t="s">
        <v>116</v>
      </c>
      <c r="P16" s="110" t="s">
        <v>117</v>
      </c>
      <c r="Q16" s="114" t="s">
        <v>118</v>
      </c>
      <c r="R16" s="110" t="s">
        <v>119</v>
      </c>
      <c r="S16" s="110" t="s">
        <v>120</v>
      </c>
      <c r="T16" s="116" t="s">
        <v>121</v>
      </c>
      <c r="U16" s="117" t="s">
        <v>122</v>
      </c>
      <c r="V16" s="109"/>
      <c r="W16" s="109"/>
      <c r="X16" s="109"/>
      <c r="Y16" s="109"/>
      <c r="Z16" s="118"/>
      <c r="AA16" s="108" t="s">
        <v>123</v>
      </c>
      <c r="AB16" s="109"/>
      <c r="AC16" s="101" t="s">
        <v>124</v>
      </c>
      <c r="AD16" s="105" t="s">
        <v>631</v>
      </c>
      <c r="AE16" s="106"/>
      <c r="AF16" s="106"/>
      <c r="AG16" s="107"/>
      <c r="AH16" s="101" t="s">
        <v>125</v>
      </c>
      <c r="AI16" s="101" t="s">
        <v>126</v>
      </c>
      <c r="AJ16" s="101" t="s">
        <v>127</v>
      </c>
      <c r="AK16" s="101" t="s">
        <v>128</v>
      </c>
      <c r="AL16" s="101" t="s">
        <v>129</v>
      </c>
      <c r="AM16" s="66" t="s">
        <v>130</v>
      </c>
      <c r="AN16" s="67"/>
      <c r="AO16" s="67"/>
      <c r="AP16" s="103" t="s">
        <v>131</v>
      </c>
      <c r="AQ16" s="39"/>
      <c r="AR16" s="20"/>
      <c r="AS16" s="63" t="s">
        <v>90</v>
      </c>
      <c r="AT16" s="63" t="s">
        <v>91</v>
      </c>
      <c r="AU16" s="63" t="s">
        <v>92</v>
      </c>
      <c r="AV16" s="63" t="s">
        <v>93</v>
      </c>
      <c r="AW16" s="63" t="s">
        <v>94</v>
      </c>
      <c r="AX16" s="63" t="s">
        <v>95</v>
      </c>
      <c r="AY16" s="63" t="s">
        <v>96</v>
      </c>
      <c r="AZ16" s="63" t="s">
        <v>97</v>
      </c>
      <c r="BA16" s="63" t="s">
        <v>98</v>
      </c>
      <c r="BB16" s="63" t="s">
        <v>99</v>
      </c>
      <c r="BC16" s="63" t="s">
        <v>100</v>
      </c>
      <c r="BD16" s="63" t="s">
        <v>101</v>
      </c>
      <c r="BE16" s="63" t="s">
        <v>102</v>
      </c>
    </row>
    <row r="17" spans="2:57" ht="136.5" customHeight="1" x14ac:dyDescent="0.2">
      <c r="D17" s="37"/>
      <c r="E17" s="41"/>
      <c r="F17" s="42"/>
      <c r="G17" s="42"/>
      <c r="H17" s="42"/>
      <c r="I17" s="42"/>
      <c r="J17" s="37"/>
      <c r="K17" s="102"/>
      <c r="L17" s="111"/>
      <c r="M17" s="113"/>
      <c r="N17" s="113"/>
      <c r="O17" s="113"/>
      <c r="P17" s="111"/>
      <c r="Q17" s="115"/>
      <c r="R17" s="111"/>
      <c r="S17" s="111"/>
      <c r="T17" s="113"/>
      <c r="U17" s="68" t="s">
        <v>132</v>
      </c>
      <c r="V17" s="68" t="s">
        <v>133</v>
      </c>
      <c r="W17" s="68" t="s">
        <v>134</v>
      </c>
      <c r="X17" s="68" t="s">
        <v>135</v>
      </c>
      <c r="Y17" s="68" t="s">
        <v>136</v>
      </c>
      <c r="Z17" s="69" t="s">
        <v>137</v>
      </c>
      <c r="AA17" s="68" t="s">
        <v>138</v>
      </c>
      <c r="AB17" s="70" t="s">
        <v>139</v>
      </c>
      <c r="AC17" s="102"/>
      <c r="AD17" s="71" t="s">
        <v>140</v>
      </c>
      <c r="AE17" s="68" t="s">
        <v>632</v>
      </c>
      <c r="AF17" s="68" t="s">
        <v>138</v>
      </c>
      <c r="AG17" s="68" t="s">
        <v>141</v>
      </c>
      <c r="AH17" s="102"/>
      <c r="AI17" s="102"/>
      <c r="AJ17" s="102"/>
      <c r="AK17" s="102"/>
      <c r="AL17" s="102"/>
      <c r="AM17" s="72" t="s">
        <v>142</v>
      </c>
      <c r="AN17" s="68" t="s">
        <v>143</v>
      </c>
      <c r="AO17" s="73" t="s">
        <v>144</v>
      </c>
      <c r="AP17" s="104"/>
      <c r="AQ17" s="41"/>
      <c r="AR17" s="20"/>
      <c r="AS17" s="62" t="s">
        <v>103</v>
      </c>
      <c r="AT17" s="62" t="s">
        <v>104</v>
      </c>
      <c r="AU17" s="62" t="s">
        <v>105</v>
      </c>
      <c r="AV17" s="62" t="s">
        <v>106</v>
      </c>
      <c r="AW17" s="62" t="s">
        <v>633</v>
      </c>
      <c r="AX17" s="64" t="s">
        <v>636</v>
      </c>
      <c r="AY17" s="62" t="s">
        <v>634</v>
      </c>
      <c r="AZ17" s="62" t="s">
        <v>107</v>
      </c>
      <c r="BA17" s="62" t="s">
        <v>108</v>
      </c>
      <c r="BB17" s="62" t="s">
        <v>109</v>
      </c>
      <c r="BC17" s="62" t="s">
        <v>635</v>
      </c>
      <c r="BD17" s="62" t="s">
        <v>110</v>
      </c>
      <c r="BE17" s="62" t="s">
        <v>111</v>
      </c>
    </row>
    <row r="18" spans="2:57" x14ac:dyDescent="0.2">
      <c r="B18" s="22"/>
      <c r="C18" s="22"/>
      <c r="D18" s="38"/>
      <c r="E18" s="41"/>
      <c r="F18" s="45"/>
      <c r="G18" s="45"/>
      <c r="H18" s="74"/>
      <c r="I18" s="74"/>
      <c r="J18" s="75"/>
      <c r="K18" s="82" t="s">
        <v>43</v>
      </c>
      <c r="L18" s="83" t="s">
        <v>44</v>
      </c>
      <c r="M18" s="83" t="s">
        <v>45</v>
      </c>
      <c r="N18" s="83" t="s">
        <v>61</v>
      </c>
      <c r="O18" s="83" t="s">
        <v>62</v>
      </c>
      <c r="P18" s="83" t="s">
        <v>63</v>
      </c>
      <c r="Q18" s="83" t="s">
        <v>64</v>
      </c>
      <c r="R18" s="83" t="s">
        <v>65</v>
      </c>
      <c r="S18" s="83" t="s">
        <v>66</v>
      </c>
      <c r="T18" s="83" t="s">
        <v>67</v>
      </c>
      <c r="U18" s="83" t="s">
        <v>68</v>
      </c>
      <c r="V18" s="83" t="s">
        <v>69</v>
      </c>
      <c r="W18" s="83" t="s">
        <v>70</v>
      </c>
      <c r="X18" s="83" t="s">
        <v>71</v>
      </c>
      <c r="Y18" s="83" t="s">
        <v>72</v>
      </c>
      <c r="Z18" s="83" t="s">
        <v>73</v>
      </c>
      <c r="AA18" s="83" t="s">
        <v>74</v>
      </c>
      <c r="AB18" s="83" t="s">
        <v>75</v>
      </c>
      <c r="AC18" s="83" t="s">
        <v>76</v>
      </c>
      <c r="AD18" s="83" t="s">
        <v>77</v>
      </c>
      <c r="AE18" s="83" t="s">
        <v>78</v>
      </c>
      <c r="AF18" s="83" t="s">
        <v>79</v>
      </c>
      <c r="AG18" s="83" t="s">
        <v>80</v>
      </c>
      <c r="AH18" s="83" t="s">
        <v>81</v>
      </c>
      <c r="AI18" s="83" t="s">
        <v>82</v>
      </c>
      <c r="AJ18" s="83" t="s">
        <v>83</v>
      </c>
      <c r="AK18" s="83" t="s">
        <v>84</v>
      </c>
      <c r="AL18" s="83" t="s">
        <v>85</v>
      </c>
      <c r="AM18" s="83" t="s">
        <v>86</v>
      </c>
      <c r="AN18" s="83" t="s">
        <v>87</v>
      </c>
      <c r="AO18" s="83" t="s">
        <v>88</v>
      </c>
      <c r="AP18" s="84" t="s">
        <v>89</v>
      </c>
      <c r="AQ18" s="41"/>
      <c r="AR18" s="20"/>
      <c r="AS18" s="85"/>
      <c r="AT18" s="85"/>
      <c r="AU18" s="85"/>
      <c r="AV18" s="85"/>
      <c r="AW18" s="20"/>
      <c r="AY18" s="20"/>
      <c r="AZ18" s="20"/>
      <c r="BA18" s="20"/>
      <c r="BB18" s="20"/>
      <c r="BC18" s="20"/>
      <c r="BD18" s="20"/>
      <c r="BE18" s="20"/>
    </row>
    <row r="19" spans="2:57" x14ac:dyDescent="0.2">
      <c r="B19" s="20"/>
      <c r="C19" s="53"/>
      <c r="E19" s="31">
        <v>19</v>
      </c>
      <c r="F19" s="47"/>
      <c r="G19" s="47"/>
      <c r="H19" s="47"/>
      <c r="I19" s="47"/>
      <c r="J19" s="76"/>
      <c r="K19" s="93" t="s">
        <v>641</v>
      </c>
      <c r="L19" s="86" t="s">
        <v>295</v>
      </c>
      <c r="M19" s="86"/>
      <c r="N19" s="86"/>
      <c r="O19" s="86" t="s">
        <v>668</v>
      </c>
      <c r="P19" s="86" t="s">
        <v>149</v>
      </c>
      <c r="Q19" s="86" t="s">
        <v>639</v>
      </c>
      <c r="R19" s="86" t="s">
        <v>262</v>
      </c>
      <c r="S19" s="86" t="s">
        <v>147</v>
      </c>
      <c r="T19" s="87"/>
      <c r="U19" s="87"/>
      <c r="V19" s="87">
        <v>5191.04108</v>
      </c>
      <c r="W19" s="87"/>
      <c r="X19" s="87"/>
      <c r="Y19" s="87">
        <v>770038.47938000003</v>
      </c>
      <c r="Z19" s="87">
        <v>1003507.67372</v>
      </c>
      <c r="AA19" s="87">
        <v>63.221400000000003</v>
      </c>
      <c r="AB19" s="87"/>
      <c r="AC19" s="87">
        <v>1778800.41558</v>
      </c>
      <c r="AD19" s="78"/>
      <c r="AE19" s="78"/>
      <c r="AF19" s="78"/>
      <c r="AG19" s="88"/>
      <c r="AH19" s="78">
        <v>1778800.41558</v>
      </c>
      <c r="AI19" s="78">
        <v>1778800.41558</v>
      </c>
      <c r="AJ19" s="95">
        <f>IF(P19="","",IFERROR(ROUND(IF(OR(P19="G0B",P19="G0T"),Tabelle5[[#This Row],[AI]]/SUM(LER_01!$L$26:$L$27),Tabelle5[[#This Row],[AI]]/(SUM(LER_01!$K$26:$K$27)+IF(LER_01!$D$10&gt;=4,SUM(LER_01!$M$26:$M$27)))),3),""))</f>
        <v>0.95699999999999996</v>
      </c>
      <c r="AK19" s="91" t="str">
        <f>IF(P19="","",IF(OR(P19="SOV",P19="SOB",P19="G0T",P19="G0B"),"",IF(AND(OR(P19="BSS",P19="BFS"),LER_01!$D$10&lt;=2),15%,IF(AND(OR(P19="BSN",P19="BFN"),LER_01!$D$10&gt;=4),100%,25%))))</f>
        <v/>
      </c>
      <c r="AL19" s="77"/>
      <c r="AM19" s="78">
        <v>1778800.41558</v>
      </c>
      <c r="AN19" s="78"/>
      <c r="AO19" s="79"/>
      <c r="AP19" s="94"/>
      <c r="AQ19" s="31"/>
      <c r="AR19" s="20"/>
      <c r="AS19" s="32" t="str">
        <f>IF(COUNTBLANK(K19:AP19)=32,"",IF(OR(COUNTA(K19,L19,O19,P19,Q19,R19,S19,AC19,AH19,AI19,AM19)=11,AND(OR(P19="G1T",P19="G0T"),COUNTA(AH19)=1)),"","ERROR"))</f>
        <v/>
      </c>
      <c r="AT19" s="32" t="str">
        <f>IF(ISBLANK(M19),"",IF(LEN(M19)=20,"","ERROR"))</f>
        <v/>
      </c>
      <c r="AU19" s="32" t="str">
        <f>IF(ISBLANK(N19),"",IF(AND(LEFT(N19,3)="CHE",ISNUMBER(MID(N19,4,9)+0),LEN(N19)=12),"","ERROR"))</f>
        <v/>
      </c>
      <c r="AV19" s="32" t="str">
        <f>IF(COUNTIF(O$19:O$169,O19)&gt;1,"Duplicate","")</f>
        <v/>
      </c>
      <c r="AW19" s="32" t="str">
        <f>IF(ISBLANK(O19),"",IF(ABS(AC19-SUM(U19,V19,W19,X19,Y19,Z19,AA19,AB19))&lt;=0.5,"","ERROR"))</f>
        <v/>
      </c>
      <c r="AX19" s="32" t="str">
        <f>IF(ISBLANK(O19),"",IF(AC19+SUM(AD19,AE19,AF19,AG19)&gt;=AH19-0.5,"","ERROR"))</f>
        <v/>
      </c>
      <c r="AY19" s="32" t="str">
        <f>IF(ISBLANK(O19),"",IF(AH19&gt;=AI19-0.5,"","ERROR"))</f>
        <v/>
      </c>
      <c r="AZ19" s="32" t="str">
        <f>IF(ISBLANK(O19),"",IF(AI19&gt;=AN19-0.5,"","ERROR"))</f>
        <v/>
      </c>
      <c r="BA19" s="32" t="str">
        <f>IF(ISBLANK(O19),"",IF(T19&gt;=0,"","ERROR"))</f>
        <v/>
      </c>
      <c r="BB19" s="32" t="str">
        <f>IF(ISBLANK(O19),"",IF(COUNTIF(AD19:AG19,"&gt;0")&gt;0,"ERROR",""))</f>
        <v/>
      </c>
      <c r="BC19" s="32" t="str">
        <f>IF(ISBLANK(O19),"",IF(ISBLANK(AO19),"",IF(AO19&gt;='Delivery Note'!$H$5,IF(AO19&lt;='Delivery Note'!$H$5+92,"","ERROR"),"ERROR")))</f>
        <v/>
      </c>
      <c r="BD19" s="32" t="str">
        <f>IF(COUNTBLANK(K19:AP19)=32,"",IF(AND(COUNTIF(P$19:P$169,"G0T")&gt;0,COUNTIF(P$19:P$169,"G1T")&gt;0),IF(AND(OR(P19="G0T",P19="G1T"),OR(ISBLANK(AH19),AH19&lt;0)),"WARNING",""),"WARNING"))</f>
        <v/>
      </c>
      <c r="BE19" s="32" t="str">
        <f>IF(ISBLANK(P19),"",IF(AND(OR(P19="OTH", P19="PDT"), ISBLANK(AP19)), "WARNING", ""))</f>
        <v/>
      </c>
    </row>
    <row r="20" spans="2:57" x14ac:dyDescent="0.2">
      <c r="B20" s="20"/>
      <c r="C20" s="53"/>
      <c r="E20" s="31">
        <v>20</v>
      </c>
      <c r="F20" s="47"/>
      <c r="G20" s="47"/>
      <c r="H20" s="47"/>
      <c r="I20" s="47"/>
      <c r="J20" s="76"/>
      <c r="K20" s="93" t="s">
        <v>642</v>
      </c>
      <c r="L20" s="86" t="s">
        <v>295</v>
      </c>
      <c r="M20" s="86"/>
      <c r="N20" s="86"/>
      <c r="O20" s="86" t="s">
        <v>669</v>
      </c>
      <c r="P20" s="86" t="s">
        <v>149</v>
      </c>
      <c r="Q20" s="86" t="s">
        <v>639</v>
      </c>
      <c r="R20" s="86">
        <v>64</v>
      </c>
      <c r="S20" s="86" t="s">
        <v>147</v>
      </c>
      <c r="T20" s="87"/>
      <c r="U20" s="87"/>
      <c r="V20" s="87"/>
      <c r="W20" s="87"/>
      <c r="X20" s="87"/>
      <c r="Y20" s="87"/>
      <c r="Z20" s="87">
        <v>1768008.38319</v>
      </c>
      <c r="AA20" s="87"/>
      <c r="AB20" s="87"/>
      <c r="AC20" s="87">
        <v>1768008.38319</v>
      </c>
      <c r="AD20" s="78"/>
      <c r="AE20" s="78"/>
      <c r="AF20" s="78"/>
      <c r="AG20" s="88"/>
      <c r="AH20" s="78">
        <v>1768008.38319</v>
      </c>
      <c r="AI20" s="78">
        <v>1768008.38319</v>
      </c>
      <c r="AJ20" s="95">
        <f>IF(P20="","",IFERROR(ROUND(IF(OR(P20="G0B",P20="G0T"),Tabelle5[[#This Row],[AI]]/SUM(LER_01!$L$26:$L$27),Tabelle5[[#This Row],[AI]]/(SUM(LER_01!$K$26:$K$27)+IF(LER_01!$D$10&gt;=4,SUM(LER_01!$M$26:$M$27)))),3),""))</f>
        <v>0.95099999999999996</v>
      </c>
      <c r="AK20" s="91" t="str">
        <f>IF(P20="","",IF(OR(P20="SOV",P20="SOB",P20="G0T",P20="G0B"),"",IF(AND(OR(P20="BSS",P20="BFS"),LER_01!$D$10&lt;=2),15%,IF(AND(OR(P20="BSN",P20="BFN"),LER_01!$D$10&gt;=4),100%,25%))))</f>
        <v/>
      </c>
      <c r="AL20" s="77"/>
      <c r="AM20" s="78">
        <v>1768008.38319</v>
      </c>
      <c r="AN20" s="78"/>
      <c r="AO20" s="79"/>
      <c r="AP20" s="94"/>
      <c r="AQ20" s="31"/>
      <c r="AR20" s="20"/>
      <c r="AS20" s="32" t="str">
        <f t="shared" ref="AS20:AS83" si="0">IF(COUNTBLANK(K20:AP20)=32,"",IF(OR(COUNTA(K20,L20,O20,P20,Q20,R20,S20,AC20,AH20,AI20,AM20)=11,AND(OR(P20="G1T",P20="G0T"),COUNTA(AH20)=1)),"","ERROR"))</f>
        <v/>
      </c>
      <c r="AT20" s="32" t="str">
        <f t="shared" ref="AT20:AT83" si="1">IF(ISBLANK(M20),"",IF(LEN(M20)=20,"","ERROR"))</f>
        <v/>
      </c>
      <c r="AU20" s="32" t="str">
        <f t="shared" ref="AU20:AU83" si="2">IF(ISBLANK(N20),"",IF(AND(LEFT(N20,3)="CHE",ISNUMBER(MID(N20,4,9)+0),LEN(N20)=12),"","ERROR"))</f>
        <v/>
      </c>
      <c r="AV20" s="32" t="str">
        <f t="shared" ref="AV20:AV83" si="3">IF(COUNTIF(O$19:O$169,O20)&gt;1,"Duplicate","")</f>
        <v/>
      </c>
      <c r="AW20" s="32" t="str">
        <f t="shared" ref="AW20:AW83" si="4">IF(ISBLANK(O20),"",IF(ABS(AC20-SUM(U20,V20,W20,X20,Y20,Z20,AA20,AB20))&lt;=0.5,"","ERROR"))</f>
        <v/>
      </c>
      <c r="AX20" s="32" t="str">
        <f t="shared" ref="AX20:AX83" si="5">IF(ISBLANK(O20),"",IF(AC20+SUM(AD20,AE20,AF20,AG20)&gt;=AH20-0.5,"","ERROR"))</f>
        <v/>
      </c>
      <c r="AY20" s="32" t="str">
        <f t="shared" ref="AY20:AY83" si="6">IF(ISBLANK(O20),"",IF(AH20&gt;=AI20-0.5,"","ERROR"))</f>
        <v/>
      </c>
      <c r="AZ20" s="32" t="str">
        <f t="shared" ref="AZ20:AZ83" si="7">IF(ISBLANK(O20),"",IF(AI20&gt;=AN20-0.5,"","ERROR"))</f>
        <v/>
      </c>
      <c r="BA20" s="32" t="str">
        <f t="shared" ref="BA20:BA83" si="8">IF(ISBLANK(O20),"",IF(T20&gt;=0,"","ERROR"))</f>
        <v/>
      </c>
      <c r="BB20" s="32" t="str">
        <f t="shared" ref="BB20:BB83" si="9">IF(ISBLANK(O20),"",IF(COUNTIF(AD20:AG20,"&gt;0")&gt;0,"ERROR",""))</f>
        <v/>
      </c>
      <c r="BC20" s="32" t="str">
        <f>IF(ISBLANK(O20),"",IF(ISBLANK(AO20),"",IF(AO20&gt;='Delivery Note'!$H$5,IF(AO20&lt;='Delivery Note'!$H$5+92,"","ERROR"),"ERROR")))</f>
        <v/>
      </c>
      <c r="BD20" s="32" t="str">
        <f t="shared" ref="BD20:BD83" si="10">IF(COUNTBLANK(K20:AP20)=32,"",IF(AND(COUNTIF(P$19:P$169,"G0T")&gt;0,COUNTIF(P$19:P$169,"G1T")&gt;0),IF(AND(OR(P20="G0T",P20="G1T"),OR(ISBLANK(AH20),AH20&lt;0)),"WARNING",""),"WARNING"))</f>
        <v/>
      </c>
      <c r="BE20" s="32" t="str">
        <f t="shared" ref="BE20:BE83" si="11">IF(ISBLANK(P20),"",IF(AND(OR(P20="OTH", P20="PDT"), ISBLANK(AP20)), "WARNING", ""))</f>
        <v/>
      </c>
    </row>
    <row r="21" spans="2:57" x14ac:dyDescent="0.2">
      <c r="B21" s="20"/>
      <c r="C21" s="53"/>
      <c r="E21" s="31">
        <v>21</v>
      </c>
      <c r="F21" s="47"/>
      <c r="G21" s="47"/>
      <c r="H21" s="47"/>
      <c r="I21" s="47"/>
      <c r="J21" s="76"/>
      <c r="K21" s="93" t="s">
        <v>643</v>
      </c>
      <c r="L21" s="86" t="s">
        <v>295</v>
      </c>
      <c r="M21" s="86"/>
      <c r="N21" s="86"/>
      <c r="O21" s="86" t="s">
        <v>670</v>
      </c>
      <c r="P21" s="86" t="s">
        <v>145</v>
      </c>
      <c r="Q21" s="86" t="s">
        <v>639</v>
      </c>
      <c r="R21" s="86">
        <v>84</v>
      </c>
      <c r="S21" s="86" t="s">
        <v>147</v>
      </c>
      <c r="T21" s="87"/>
      <c r="U21" s="87"/>
      <c r="V21" s="87"/>
      <c r="W21" s="87"/>
      <c r="X21" s="87"/>
      <c r="Y21" s="87">
        <v>1584101.9514500001</v>
      </c>
      <c r="Z21" s="87"/>
      <c r="AA21" s="87">
        <v>168290.40557</v>
      </c>
      <c r="AB21" s="87"/>
      <c r="AC21" s="87">
        <v>1752392.35702</v>
      </c>
      <c r="AD21" s="78"/>
      <c r="AE21" s="78"/>
      <c r="AF21" s="78"/>
      <c r="AG21" s="88"/>
      <c r="AH21" s="78">
        <v>1752392.35702</v>
      </c>
      <c r="AI21" s="78">
        <v>1752392.35702</v>
      </c>
      <c r="AJ21" s="95">
        <f>IF(P21="","",IFERROR(ROUND(IF(OR(P21="G0B",P21="G0T"),Tabelle5[[#This Row],[AI]]/SUM(LER_01!$L$26:$L$27),Tabelle5[[#This Row],[AI]]/(SUM(LER_01!$K$26:$K$27)+IF(LER_01!$D$10&gt;=4,SUM(LER_01!$M$26:$M$27)))),3),""))</f>
        <v>0.94299999999999995</v>
      </c>
      <c r="AK21" s="91" t="str">
        <f>IF(P21="","",IF(OR(P21="SOV",P21="SOB",P21="G0T",P21="G0B"),"",IF(AND(OR(P21="BSS",P21="BFS"),LER_01!$D$10&lt;=2),15%,IF(AND(OR(P21="BSN",P21="BFN"),LER_01!$D$10&gt;=4),100%,25%))))</f>
        <v/>
      </c>
      <c r="AL21" s="77"/>
      <c r="AM21" s="78">
        <v>1752392.35702</v>
      </c>
      <c r="AN21" s="78"/>
      <c r="AO21" s="79"/>
      <c r="AP21" s="94"/>
      <c r="AQ21" s="31"/>
      <c r="AR21" s="20"/>
      <c r="AS21" s="32" t="str">
        <f t="shared" si="0"/>
        <v/>
      </c>
      <c r="AT21" s="32" t="str">
        <f t="shared" si="1"/>
        <v/>
      </c>
      <c r="AU21" s="32" t="str">
        <f t="shared" si="2"/>
        <v/>
      </c>
      <c r="AV21" s="32" t="str">
        <f t="shared" si="3"/>
        <v/>
      </c>
      <c r="AW21" s="32" t="str">
        <f t="shared" si="4"/>
        <v/>
      </c>
      <c r="AX21" s="32" t="str">
        <f t="shared" si="5"/>
        <v/>
      </c>
      <c r="AY21" s="32" t="str">
        <f t="shared" si="6"/>
        <v/>
      </c>
      <c r="AZ21" s="32" t="str">
        <f t="shared" si="7"/>
        <v/>
      </c>
      <c r="BA21" s="32" t="str">
        <f t="shared" si="8"/>
        <v/>
      </c>
      <c r="BB21" s="32" t="str">
        <f t="shared" si="9"/>
        <v/>
      </c>
      <c r="BC21" s="32" t="str">
        <f>IF(ISBLANK(O21),"",IF(ISBLANK(AO21),"",IF(AO21&gt;='Delivery Note'!$H$5,IF(AO21&lt;='Delivery Note'!$H$5+92,"","ERROR"),"ERROR")))</f>
        <v/>
      </c>
      <c r="BD21" s="32" t="str">
        <f t="shared" si="10"/>
        <v/>
      </c>
      <c r="BE21" s="32" t="str">
        <f t="shared" si="11"/>
        <v/>
      </c>
    </row>
    <row r="22" spans="2:57" x14ac:dyDescent="0.2">
      <c r="B22" s="20"/>
      <c r="C22" s="53"/>
      <c r="E22" s="31">
        <v>22</v>
      </c>
      <c r="F22" s="47"/>
      <c r="G22" s="47"/>
      <c r="H22" s="47"/>
      <c r="I22" s="47"/>
      <c r="J22" s="76"/>
      <c r="K22" s="93" t="s">
        <v>644</v>
      </c>
      <c r="L22" s="86" t="s">
        <v>295</v>
      </c>
      <c r="M22" s="86"/>
      <c r="N22" s="86"/>
      <c r="O22" s="86" t="s">
        <v>671</v>
      </c>
      <c r="P22" s="86" t="s">
        <v>153</v>
      </c>
      <c r="Q22" s="86" t="s">
        <v>639</v>
      </c>
      <c r="R22" s="86">
        <v>99</v>
      </c>
      <c r="S22" s="86" t="s">
        <v>147</v>
      </c>
      <c r="T22" s="87"/>
      <c r="U22" s="87"/>
      <c r="V22" s="87"/>
      <c r="W22" s="87"/>
      <c r="X22" s="87"/>
      <c r="Y22" s="87">
        <v>1574066.9934799999</v>
      </c>
      <c r="Z22" s="87"/>
      <c r="AA22" s="87">
        <v>1426.13895</v>
      </c>
      <c r="AB22" s="87"/>
      <c r="AC22" s="87">
        <v>1575493.13243</v>
      </c>
      <c r="AD22" s="78"/>
      <c r="AE22" s="78"/>
      <c r="AF22" s="78"/>
      <c r="AG22" s="88"/>
      <c r="AH22" s="78">
        <v>1575493.13243</v>
      </c>
      <c r="AI22" s="78">
        <v>1575493.13243</v>
      </c>
      <c r="AJ22" s="95">
        <f>IF(P22="","",IFERROR(ROUND(IF(OR(P22="G0B",P22="G0T"),Tabelle5[[#This Row],[AI]]/SUM(LER_01!$L$26:$L$27),Tabelle5[[#This Row],[AI]]/(SUM(LER_01!$K$26:$K$27)+IF(LER_01!$D$10&gt;=4,SUM(LER_01!$M$26:$M$27)))),3),""))</f>
        <v>0.84799999999999998</v>
      </c>
      <c r="AK22" s="91">
        <f>IF(P22="","",IF(OR(P22="SOV",P22="SOB",P22="G0T",P22="G0B"),"",IF(AND(OR(P22="BSS",P22="BFS"),LER_01!$D$10&lt;=2),15%,IF(AND(OR(P22="BSN",P22="BFN"),LER_01!$D$10&gt;=4),100%,25%))))</f>
        <v>0.25</v>
      </c>
      <c r="AL22" s="77"/>
      <c r="AM22" s="78">
        <v>1575493.13243</v>
      </c>
      <c r="AN22" s="78"/>
      <c r="AO22" s="79"/>
      <c r="AP22" s="94"/>
      <c r="AQ22" s="31"/>
      <c r="AR22" s="20"/>
      <c r="AS22" s="32" t="str">
        <f t="shared" si="0"/>
        <v/>
      </c>
      <c r="AT22" s="32" t="str">
        <f t="shared" si="1"/>
        <v/>
      </c>
      <c r="AU22" s="32" t="str">
        <f t="shared" si="2"/>
        <v/>
      </c>
      <c r="AV22" s="32" t="str">
        <f t="shared" si="3"/>
        <v/>
      </c>
      <c r="AW22" s="32" t="str">
        <f t="shared" si="4"/>
        <v/>
      </c>
      <c r="AX22" s="32" t="str">
        <f t="shared" si="5"/>
        <v/>
      </c>
      <c r="AY22" s="32" t="str">
        <f t="shared" si="6"/>
        <v/>
      </c>
      <c r="AZ22" s="32" t="str">
        <f t="shared" si="7"/>
        <v/>
      </c>
      <c r="BA22" s="32" t="str">
        <f t="shared" si="8"/>
        <v/>
      </c>
      <c r="BB22" s="32" t="str">
        <f t="shared" si="9"/>
        <v/>
      </c>
      <c r="BC22" s="32" t="str">
        <f>IF(ISBLANK(O22),"",IF(ISBLANK(AO22),"",IF(AO22&gt;='Delivery Note'!$H$5,IF(AO22&lt;='Delivery Note'!$H$5+92,"","ERROR"),"ERROR")))</f>
        <v/>
      </c>
      <c r="BD22" s="32" t="str">
        <f t="shared" si="10"/>
        <v/>
      </c>
      <c r="BE22" s="32" t="str">
        <f t="shared" si="11"/>
        <v/>
      </c>
    </row>
    <row r="23" spans="2:57" x14ac:dyDescent="0.2">
      <c r="B23" s="20"/>
      <c r="C23" s="53"/>
      <c r="E23" s="31">
        <v>23</v>
      </c>
      <c r="F23" s="47"/>
      <c r="G23" s="47"/>
      <c r="H23" s="47"/>
      <c r="I23" s="47"/>
      <c r="J23" s="76"/>
      <c r="K23" s="93" t="s">
        <v>645</v>
      </c>
      <c r="L23" s="86" t="s">
        <v>295</v>
      </c>
      <c r="M23" s="86"/>
      <c r="N23" s="86"/>
      <c r="O23" s="86" t="s">
        <v>672</v>
      </c>
      <c r="P23" s="86" t="s">
        <v>149</v>
      </c>
      <c r="Q23" s="86" t="s">
        <v>639</v>
      </c>
      <c r="R23" s="86">
        <v>64</v>
      </c>
      <c r="S23" s="86" t="s">
        <v>147</v>
      </c>
      <c r="T23" s="87"/>
      <c r="U23" s="87"/>
      <c r="V23" s="87"/>
      <c r="W23" s="87"/>
      <c r="X23" s="87"/>
      <c r="Y23" s="87">
        <v>979904.18891000003</v>
      </c>
      <c r="Z23" s="87">
        <v>12251.408390000001</v>
      </c>
      <c r="AA23" s="87"/>
      <c r="AB23" s="87"/>
      <c r="AC23" s="87">
        <v>992155.59730000002</v>
      </c>
      <c r="AD23" s="78"/>
      <c r="AE23" s="78"/>
      <c r="AF23" s="78"/>
      <c r="AG23" s="88"/>
      <c r="AH23" s="78">
        <v>992155.59730000002</v>
      </c>
      <c r="AI23" s="78">
        <v>992155.59730000002</v>
      </c>
      <c r="AJ23" s="95">
        <f>IF(P23="","",IFERROR(ROUND(IF(OR(P23="G0B",P23="G0T"),Tabelle5[[#This Row],[AI]]/SUM(LER_01!$L$26:$L$27),Tabelle5[[#This Row],[AI]]/(SUM(LER_01!$K$26:$K$27)+IF(LER_01!$D$10&gt;=4,SUM(LER_01!$M$26:$M$27)))),3),""))</f>
        <v>0.53400000000000003</v>
      </c>
      <c r="AK23" s="91" t="str">
        <f>IF(P23="","",IF(OR(P23="SOV",P23="SOB",P23="G0T",P23="G0B"),"",IF(AND(OR(P23="BSS",P23="BFS"),LER_01!$D$10&lt;=2),15%,IF(AND(OR(P23="BSN",P23="BFN"),LER_01!$D$10&gt;=4),100%,25%))))</f>
        <v/>
      </c>
      <c r="AL23" s="77"/>
      <c r="AM23" s="78">
        <v>992155.59730000002</v>
      </c>
      <c r="AN23" s="78"/>
      <c r="AO23" s="79"/>
      <c r="AP23" s="94"/>
      <c r="AQ23" s="31"/>
      <c r="AR23" s="20"/>
      <c r="AS23" s="32" t="str">
        <f t="shared" si="0"/>
        <v/>
      </c>
      <c r="AT23" s="32" t="str">
        <f t="shared" si="1"/>
        <v/>
      </c>
      <c r="AU23" s="32" t="str">
        <f t="shared" si="2"/>
        <v/>
      </c>
      <c r="AV23" s="32" t="str">
        <f t="shared" si="3"/>
        <v/>
      </c>
      <c r="AW23" s="32" t="str">
        <f t="shared" si="4"/>
        <v/>
      </c>
      <c r="AX23" s="32" t="str">
        <f t="shared" si="5"/>
        <v/>
      </c>
      <c r="AY23" s="32" t="str">
        <f t="shared" si="6"/>
        <v/>
      </c>
      <c r="AZ23" s="32" t="str">
        <f t="shared" si="7"/>
        <v/>
      </c>
      <c r="BA23" s="32" t="str">
        <f t="shared" si="8"/>
        <v/>
      </c>
      <c r="BB23" s="32" t="str">
        <f t="shared" si="9"/>
        <v/>
      </c>
      <c r="BC23" s="32" t="str">
        <f>IF(ISBLANK(O23),"",IF(ISBLANK(AO23),"",IF(AO23&gt;='Delivery Note'!$H$5,IF(AO23&lt;='Delivery Note'!$H$5+92,"","ERROR"),"ERROR")))</f>
        <v/>
      </c>
      <c r="BD23" s="32" t="str">
        <f t="shared" si="10"/>
        <v/>
      </c>
      <c r="BE23" s="32" t="str">
        <f t="shared" si="11"/>
        <v/>
      </c>
    </row>
    <row r="24" spans="2:57" x14ac:dyDescent="0.2">
      <c r="B24" s="20"/>
      <c r="C24" s="53"/>
      <c r="E24" s="31">
        <v>24</v>
      </c>
      <c r="F24" s="47"/>
      <c r="G24" s="47"/>
      <c r="H24" s="47"/>
      <c r="I24" s="47"/>
      <c r="J24" s="76"/>
      <c r="K24" s="93" t="s">
        <v>646</v>
      </c>
      <c r="L24" s="86" t="s">
        <v>295</v>
      </c>
      <c r="M24" s="86"/>
      <c r="N24" s="86"/>
      <c r="O24" s="86" t="s">
        <v>673</v>
      </c>
      <c r="P24" s="86" t="s">
        <v>145</v>
      </c>
      <c r="Q24" s="86" t="s">
        <v>639</v>
      </c>
      <c r="R24" s="86">
        <v>84</v>
      </c>
      <c r="S24" s="86" t="s">
        <v>147</v>
      </c>
      <c r="T24" s="87"/>
      <c r="U24" s="87"/>
      <c r="V24" s="87"/>
      <c r="W24" s="87"/>
      <c r="X24" s="87"/>
      <c r="Y24" s="87"/>
      <c r="Z24" s="87"/>
      <c r="AA24" s="87">
        <v>12929.492689999999</v>
      </c>
      <c r="AB24" s="87">
        <v>852401.49057000002</v>
      </c>
      <c r="AC24" s="87">
        <v>865330.98326000001</v>
      </c>
      <c r="AD24" s="78"/>
      <c r="AE24" s="78"/>
      <c r="AF24" s="78"/>
      <c r="AG24" s="88"/>
      <c r="AH24" s="78">
        <v>865330.98326000001</v>
      </c>
      <c r="AI24" s="78">
        <v>865330.98326000001</v>
      </c>
      <c r="AJ24" s="95">
        <f>IF(P24="","",IFERROR(ROUND(IF(OR(P24="G0B",P24="G0T"),Tabelle5[[#This Row],[AI]]/SUM(LER_01!$L$26:$L$27),Tabelle5[[#This Row],[AI]]/(SUM(LER_01!$K$26:$K$27)+IF(LER_01!$D$10&gt;=4,SUM(LER_01!$M$26:$M$27)))),3),""))</f>
        <v>0.46600000000000003</v>
      </c>
      <c r="AK24" s="91" t="str">
        <f>IF(P24="","",IF(OR(P24="SOV",P24="SOB",P24="G0T",P24="G0B"),"",IF(AND(OR(P24="BSS",P24="BFS"),LER_01!$D$10&lt;=2),15%,IF(AND(OR(P24="BSN",P24="BFN"),LER_01!$D$10&gt;=4),100%,25%))))</f>
        <v/>
      </c>
      <c r="AL24" s="77"/>
      <c r="AM24" s="78">
        <v>865330.98326000001</v>
      </c>
      <c r="AN24" s="78"/>
      <c r="AO24" s="79"/>
      <c r="AP24" s="94"/>
      <c r="AQ24" s="31"/>
      <c r="AR24" s="20"/>
      <c r="AS24" s="32" t="str">
        <f t="shared" si="0"/>
        <v/>
      </c>
      <c r="AT24" s="32" t="str">
        <f t="shared" si="1"/>
        <v/>
      </c>
      <c r="AU24" s="32" t="str">
        <f t="shared" si="2"/>
        <v/>
      </c>
      <c r="AV24" s="32" t="str">
        <f t="shared" si="3"/>
        <v/>
      </c>
      <c r="AW24" s="32" t="str">
        <f t="shared" si="4"/>
        <v/>
      </c>
      <c r="AX24" s="32" t="str">
        <f t="shared" si="5"/>
        <v/>
      </c>
      <c r="AY24" s="32" t="str">
        <f t="shared" si="6"/>
        <v/>
      </c>
      <c r="AZ24" s="32" t="str">
        <f t="shared" si="7"/>
        <v/>
      </c>
      <c r="BA24" s="32" t="str">
        <f t="shared" si="8"/>
        <v/>
      </c>
      <c r="BB24" s="32" t="str">
        <f t="shared" si="9"/>
        <v/>
      </c>
      <c r="BC24" s="32" t="str">
        <f>IF(ISBLANK(O24),"",IF(ISBLANK(AO24),"",IF(AO24&gt;='Delivery Note'!$H$5,IF(AO24&lt;='Delivery Note'!$H$5+92,"","ERROR"),"ERROR")))</f>
        <v/>
      </c>
      <c r="BD24" s="32" t="str">
        <f t="shared" si="10"/>
        <v/>
      </c>
      <c r="BE24" s="32" t="str">
        <f t="shared" si="11"/>
        <v/>
      </c>
    </row>
    <row r="25" spans="2:57" x14ac:dyDescent="0.2">
      <c r="B25" s="20"/>
      <c r="C25" s="53"/>
      <c r="E25" s="31">
        <v>25</v>
      </c>
      <c r="F25" s="47"/>
      <c r="G25" s="47"/>
      <c r="H25" s="47"/>
      <c r="I25" s="47"/>
      <c r="J25" s="76"/>
      <c r="K25" s="93" t="s">
        <v>647</v>
      </c>
      <c r="L25" s="86" t="s">
        <v>295</v>
      </c>
      <c r="M25" s="86"/>
      <c r="N25" s="86"/>
      <c r="O25" s="86" t="s">
        <v>674</v>
      </c>
      <c r="P25" s="86" t="s">
        <v>149</v>
      </c>
      <c r="Q25" s="86" t="s">
        <v>639</v>
      </c>
      <c r="R25" s="86">
        <v>64</v>
      </c>
      <c r="S25" s="86" t="s">
        <v>147</v>
      </c>
      <c r="T25" s="87"/>
      <c r="U25" s="87"/>
      <c r="V25" s="87"/>
      <c r="W25" s="87"/>
      <c r="X25" s="87"/>
      <c r="Y25" s="87"/>
      <c r="Z25" s="87">
        <v>861929.98822000006</v>
      </c>
      <c r="AA25" s="87"/>
      <c r="AB25" s="87"/>
      <c r="AC25" s="87">
        <v>861929.98822000006</v>
      </c>
      <c r="AD25" s="78"/>
      <c r="AE25" s="78"/>
      <c r="AF25" s="78"/>
      <c r="AG25" s="88"/>
      <c r="AH25" s="78">
        <v>861929.98822000006</v>
      </c>
      <c r="AI25" s="78">
        <v>861929.98822000006</v>
      </c>
      <c r="AJ25" s="95">
        <f>IF(P25="","",IFERROR(ROUND(IF(OR(P25="G0B",P25="G0T"),Tabelle5[[#This Row],[AI]]/SUM(LER_01!$L$26:$L$27),Tabelle5[[#This Row],[AI]]/(SUM(LER_01!$K$26:$K$27)+IF(LER_01!$D$10&gt;=4,SUM(LER_01!$M$26:$M$27)))),3),""))</f>
        <v>0.46400000000000002</v>
      </c>
      <c r="AK25" s="91" t="str">
        <f>IF(P25="","",IF(OR(P25="SOV",P25="SOB",P25="G0T",P25="G0B"),"",IF(AND(OR(P25="BSS",P25="BFS"),LER_01!$D$10&lt;=2),15%,IF(AND(OR(P25="BSN",P25="BFN"),LER_01!$D$10&gt;=4),100%,25%))))</f>
        <v/>
      </c>
      <c r="AL25" s="77"/>
      <c r="AM25" s="78">
        <v>861929.98822000006</v>
      </c>
      <c r="AN25" s="78"/>
      <c r="AO25" s="79"/>
      <c r="AP25" s="94"/>
      <c r="AQ25" s="31"/>
      <c r="AR25" s="20"/>
      <c r="AS25" s="32" t="str">
        <f t="shared" si="0"/>
        <v/>
      </c>
      <c r="AT25" s="32" t="str">
        <f t="shared" si="1"/>
        <v/>
      </c>
      <c r="AU25" s="32" t="str">
        <f t="shared" si="2"/>
        <v/>
      </c>
      <c r="AV25" s="32" t="str">
        <f t="shared" si="3"/>
        <v/>
      </c>
      <c r="AW25" s="32" t="str">
        <f t="shared" si="4"/>
        <v/>
      </c>
      <c r="AX25" s="32" t="str">
        <f t="shared" si="5"/>
        <v/>
      </c>
      <c r="AY25" s="32" t="str">
        <f t="shared" si="6"/>
        <v/>
      </c>
      <c r="AZ25" s="32" t="str">
        <f t="shared" si="7"/>
        <v/>
      </c>
      <c r="BA25" s="32" t="str">
        <f t="shared" si="8"/>
        <v/>
      </c>
      <c r="BB25" s="32" t="str">
        <f t="shared" si="9"/>
        <v/>
      </c>
      <c r="BC25" s="32" t="str">
        <f>IF(ISBLANK(O25),"",IF(ISBLANK(AO25),"",IF(AO25&gt;='Delivery Note'!$H$5,IF(AO25&lt;='Delivery Note'!$H$5+92,"","ERROR"),"ERROR")))</f>
        <v/>
      </c>
      <c r="BD25" s="32" t="str">
        <f t="shared" si="10"/>
        <v/>
      </c>
      <c r="BE25" s="32" t="str">
        <f t="shared" si="11"/>
        <v/>
      </c>
    </row>
    <row r="26" spans="2:57" x14ac:dyDescent="0.2">
      <c r="B26" s="20"/>
      <c r="C26" s="53"/>
      <c r="E26" s="31">
        <v>26</v>
      </c>
      <c r="F26" s="47"/>
      <c r="G26" s="47"/>
      <c r="H26" s="47"/>
      <c r="I26" s="47"/>
      <c r="J26" s="76"/>
      <c r="K26" s="93" t="s">
        <v>648</v>
      </c>
      <c r="L26" s="86" t="s">
        <v>295</v>
      </c>
      <c r="M26" s="86"/>
      <c r="N26" s="86"/>
      <c r="O26" s="86" t="s">
        <v>675</v>
      </c>
      <c r="P26" s="86" t="s">
        <v>173</v>
      </c>
      <c r="Q26" s="86" t="s">
        <v>639</v>
      </c>
      <c r="R26" s="86">
        <v>64</v>
      </c>
      <c r="S26" s="86" t="s">
        <v>147</v>
      </c>
      <c r="T26" s="87"/>
      <c r="U26" s="87"/>
      <c r="V26" s="87"/>
      <c r="W26" s="87"/>
      <c r="X26" s="87"/>
      <c r="Y26" s="87">
        <v>632084.69721000001</v>
      </c>
      <c r="Z26" s="87"/>
      <c r="AA26" s="87">
        <v>368.13866999999999</v>
      </c>
      <c r="AB26" s="87"/>
      <c r="AC26" s="87">
        <v>632452.83588000003</v>
      </c>
      <c r="AD26" s="78"/>
      <c r="AE26" s="78"/>
      <c r="AF26" s="78"/>
      <c r="AG26" s="88">
        <v>-632084.69721000001</v>
      </c>
      <c r="AH26" s="78">
        <v>368.13867000001483</v>
      </c>
      <c r="AI26" s="78">
        <v>368.13867000001483</v>
      </c>
      <c r="AJ26" s="95">
        <f>IF(P26="","",IFERROR(ROUND(IF(OR(P26="G0B",P26="G0T"),Tabelle5[[#This Row],[AI]]/SUM(LER_01!$L$26:$L$27),Tabelle5[[#This Row],[AI]]/(SUM(LER_01!$K$26:$K$27)+IF(LER_01!$D$10&gt;=4,SUM(LER_01!$M$26:$M$27)))),3),""))</f>
        <v>0</v>
      </c>
      <c r="AK26" s="91">
        <f>IF(P26="","",IF(OR(P26="SOV",P26="SOB",P26="G0T",P26="G0B"),"",IF(AND(OR(P26="BSS",P26="BFS"),LER_01!$D$10&lt;=2),15%,IF(AND(OR(P26="BSN",P26="BFN"),LER_01!$D$10&gt;=4),100%,25%))))</f>
        <v>0.25</v>
      </c>
      <c r="AL26" s="77"/>
      <c r="AM26" s="78">
        <v>368.13867000001483</v>
      </c>
      <c r="AN26" s="78"/>
      <c r="AO26" s="79"/>
      <c r="AP26" s="94"/>
      <c r="AQ26" s="31"/>
      <c r="AR26" s="20"/>
      <c r="AS26" s="32" t="str">
        <f t="shared" si="0"/>
        <v/>
      </c>
      <c r="AT26" s="32" t="str">
        <f t="shared" si="1"/>
        <v/>
      </c>
      <c r="AU26" s="32" t="str">
        <f t="shared" si="2"/>
        <v/>
      </c>
      <c r="AV26" s="32" t="str">
        <f t="shared" si="3"/>
        <v/>
      </c>
      <c r="AW26" s="32" t="str">
        <f t="shared" si="4"/>
        <v/>
      </c>
      <c r="AX26" s="32" t="str">
        <f t="shared" si="5"/>
        <v/>
      </c>
      <c r="AY26" s="32" t="str">
        <f t="shared" si="6"/>
        <v/>
      </c>
      <c r="AZ26" s="32" t="str">
        <f t="shared" si="7"/>
        <v/>
      </c>
      <c r="BA26" s="32" t="str">
        <f t="shared" si="8"/>
        <v/>
      </c>
      <c r="BB26" s="32" t="str">
        <f t="shared" si="9"/>
        <v/>
      </c>
      <c r="BC26" s="32" t="str">
        <f>IF(ISBLANK(O26),"",IF(ISBLANK(AO26),"",IF(AO26&gt;='Delivery Note'!$H$5,IF(AO26&lt;='Delivery Note'!$H$5+92,"","ERROR"),"ERROR")))</f>
        <v/>
      </c>
      <c r="BD26" s="32" t="str">
        <f t="shared" si="10"/>
        <v/>
      </c>
      <c r="BE26" s="32" t="str">
        <f t="shared" si="11"/>
        <v/>
      </c>
    </row>
    <row r="27" spans="2:57" x14ac:dyDescent="0.2">
      <c r="B27" s="20"/>
      <c r="C27" s="53"/>
      <c r="E27" s="31">
        <v>27</v>
      </c>
      <c r="F27" s="47"/>
      <c r="G27" s="47"/>
      <c r="H27" s="47"/>
      <c r="I27" s="47"/>
      <c r="J27" s="76"/>
      <c r="K27" s="93" t="s">
        <v>649</v>
      </c>
      <c r="L27" s="86" t="s">
        <v>295</v>
      </c>
      <c r="M27" s="86"/>
      <c r="N27" s="86"/>
      <c r="O27" s="86" t="s">
        <v>676</v>
      </c>
      <c r="P27" s="86" t="s">
        <v>145</v>
      </c>
      <c r="Q27" s="86" t="s">
        <v>639</v>
      </c>
      <c r="R27" s="86">
        <v>84</v>
      </c>
      <c r="S27" s="86" t="s">
        <v>147</v>
      </c>
      <c r="T27" s="87"/>
      <c r="U27" s="87"/>
      <c r="V27" s="87"/>
      <c r="W27" s="87"/>
      <c r="X27" s="87"/>
      <c r="Y27" s="87">
        <v>92659.749450000003</v>
      </c>
      <c r="Z27" s="87"/>
      <c r="AA27" s="87">
        <v>7695.5699400000003</v>
      </c>
      <c r="AB27" s="87">
        <v>525300.63237000001</v>
      </c>
      <c r="AC27" s="87">
        <v>625655.95175999997</v>
      </c>
      <c r="AD27" s="78"/>
      <c r="AE27" s="78"/>
      <c r="AF27" s="78"/>
      <c r="AG27" s="88"/>
      <c r="AH27" s="78">
        <v>625655.95175999997</v>
      </c>
      <c r="AI27" s="78">
        <v>625655.95175999997</v>
      </c>
      <c r="AJ27" s="95">
        <f>IF(P27="","",IFERROR(ROUND(IF(OR(P27="G0B",P27="G0T"),Tabelle5[[#This Row],[AI]]/SUM(LER_01!$L$26:$L$27),Tabelle5[[#This Row],[AI]]/(SUM(LER_01!$K$26:$K$27)+IF(LER_01!$D$10&gt;=4,SUM(LER_01!$M$26:$M$27)))),3),""))</f>
        <v>0.33700000000000002</v>
      </c>
      <c r="AK27" s="91" t="str">
        <f>IF(P27="","",IF(OR(P27="SOV",P27="SOB",P27="G0T",P27="G0B"),"",IF(AND(OR(P27="BSS",P27="BFS"),LER_01!$D$10&lt;=2),15%,IF(AND(OR(P27="BSN",P27="BFN"),LER_01!$D$10&gt;=4),100%,25%))))</f>
        <v/>
      </c>
      <c r="AL27" s="77"/>
      <c r="AM27" s="78">
        <v>625655.95175999997</v>
      </c>
      <c r="AN27" s="78"/>
      <c r="AO27" s="79"/>
      <c r="AP27" s="94"/>
      <c r="AQ27" s="31"/>
      <c r="AR27" s="20"/>
      <c r="AS27" s="32" t="str">
        <f t="shared" si="0"/>
        <v/>
      </c>
      <c r="AT27" s="32" t="str">
        <f t="shared" si="1"/>
        <v/>
      </c>
      <c r="AU27" s="32" t="str">
        <f t="shared" si="2"/>
        <v/>
      </c>
      <c r="AV27" s="32" t="str">
        <f t="shared" si="3"/>
        <v/>
      </c>
      <c r="AW27" s="32" t="str">
        <f t="shared" si="4"/>
        <v/>
      </c>
      <c r="AX27" s="32" t="str">
        <f t="shared" si="5"/>
        <v/>
      </c>
      <c r="AY27" s="32" t="str">
        <f t="shared" si="6"/>
        <v/>
      </c>
      <c r="AZ27" s="32" t="str">
        <f t="shared" si="7"/>
        <v/>
      </c>
      <c r="BA27" s="32" t="str">
        <f t="shared" si="8"/>
        <v/>
      </c>
      <c r="BB27" s="32" t="str">
        <f t="shared" si="9"/>
        <v/>
      </c>
      <c r="BC27" s="32" t="str">
        <f>IF(ISBLANK(O27),"",IF(ISBLANK(AO27),"",IF(AO27&gt;='Delivery Note'!$H$5,IF(AO27&lt;='Delivery Note'!$H$5+92,"","ERROR"),"ERROR")))</f>
        <v/>
      </c>
      <c r="BD27" s="32" t="str">
        <f t="shared" si="10"/>
        <v/>
      </c>
      <c r="BE27" s="32" t="str">
        <f t="shared" si="11"/>
        <v/>
      </c>
    </row>
    <row r="28" spans="2:57" x14ac:dyDescent="0.2">
      <c r="B28" s="20"/>
      <c r="C28" s="53"/>
      <c r="E28" s="31">
        <v>28</v>
      </c>
      <c r="F28" s="47"/>
      <c r="G28" s="47"/>
      <c r="H28" s="47"/>
      <c r="I28" s="47"/>
      <c r="J28" s="76"/>
      <c r="K28" s="93" t="s">
        <v>650</v>
      </c>
      <c r="L28" s="86" t="s">
        <v>295</v>
      </c>
      <c r="M28" s="86"/>
      <c r="N28" s="86"/>
      <c r="O28" s="86" t="s">
        <v>677</v>
      </c>
      <c r="P28" s="86" t="s">
        <v>145</v>
      </c>
      <c r="Q28" s="86" t="s">
        <v>639</v>
      </c>
      <c r="R28" s="86">
        <v>84</v>
      </c>
      <c r="S28" s="86" t="s">
        <v>147</v>
      </c>
      <c r="T28" s="87"/>
      <c r="U28" s="87"/>
      <c r="V28" s="87"/>
      <c r="W28" s="87"/>
      <c r="X28" s="87"/>
      <c r="Y28" s="87">
        <v>48310.016470000002</v>
      </c>
      <c r="Z28" s="87"/>
      <c r="AA28" s="87">
        <v>502.02607</v>
      </c>
      <c r="AB28" s="87">
        <v>435850.25777999999</v>
      </c>
      <c r="AC28" s="87">
        <v>484662.30031999998</v>
      </c>
      <c r="AD28" s="78"/>
      <c r="AE28" s="78"/>
      <c r="AF28" s="78"/>
      <c r="AG28" s="88"/>
      <c r="AH28" s="78">
        <v>484662.30031999998</v>
      </c>
      <c r="AI28" s="78">
        <v>484662.30031999998</v>
      </c>
      <c r="AJ28" s="95">
        <f>IF(P28="","",IFERROR(ROUND(IF(OR(P28="G0B",P28="G0T"),Tabelle5[[#This Row],[AI]]/SUM(LER_01!$L$26:$L$27),Tabelle5[[#This Row],[AI]]/(SUM(LER_01!$K$26:$K$27)+IF(LER_01!$D$10&gt;=4,SUM(LER_01!$M$26:$M$27)))),3),""))</f>
        <v>0.26100000000000001</v>
      </c>
      <c r="AK28" s="91" t="str">
        <f>IF(P28="","",IF(OR(P28="SOV",P28="SOB",P28="G0T",P28="G0B"),"",IF(AND(OR(P28="BSS",P28="BFS"),LER_01!$D$10&lt;=2),15%,IF(AND(OR(P28="BSN",P28="BFN"),LER_01!$D$10&gt;=4),100%,25%))))</f>
        <v/>
      </c>
      <c r="AL28" s="77"/>
      <c r="AM28" s="78">
        <v>484662.30031999998</v>
      </c>
      <c r="AN28" s="78"/>
      <c r="AO28" s="79"/>
      <c r="AP28" s="94"/>
      <c r="AQ28" s="31"/>
      <c r="AR28" s="20"/>
      <c r="AS28" s="32" t="str">
        <f t="shared" si="0"/>
        <v/>
      </c>
      <c r="AT28" s="32" t="str">
        <f t="shared" si="1"/>
        <v/>
      </c>
      <c r="AU28" s="32" t="str">
        <f t="shared" si="2"/>
        <v/>
      </c>
      <c r="AV28" s="32" t="str">
        <f t="shared" si="3"/>
        <v/>
      </c>
      <c r="AW28" s="32" t="str">
        <f t="shared" si="4"/>
        <v/>
      </c>
      <c r="AX28" s="32" t="str">
        <f t="shared" si="5"/>
        <v/>
      </c>
      <c r="AY28" s="32" t="str">
        <f t="shared" si="6"/>
        <v/>
      </c>
      <c r="AZ28" s="32" t="str">
        <f t="shared" si="7"/>
        <v/>
      </c>
      <c r="BA28" s="32" t="str">
        <f t="shared" si="8"/>
        <v/>
      </c>
      <c r="BB28" s="32" t="str">
        <f t="shared" si="9"/>
        <v/>
      </c>
      <c r="BC28" s="32" t="str">
        <f>IF(ISBLANK(O28),"",IF(ISBLANK(AO28),"",IF(AO28&gt;='Delivery Note'!$H$5,IF(AO28&lt;='Delivery Note'!$H$5+92,"","ERROR"),"ERROR")))</f>
        <v/>
      </c>
      <c r="BD28" s="32" t="str">
        <f t="shared" si="10"/>
        <v/>
      </c>
      <c r="BE28" s="32" t="str">
        <f t="shared" si="11"/>
        <v/>
      </c>
    </row>
    <row r="29" spans="2:57" x14ac:dyDescent="0.2">
      <c r="B29" s="20"/>
      <c r="C29" s="53"/>
      <c r="E29" s="31">
        <v>29</v>
      </c>
      <c r="F29" s="47"/>
      <c r="G29" s="47"/>
      <c r="H29" s="47"/>
      <c r="I29" s="47"/>
      <c r="J29" s="76"/>
      <c r="K29" s="93" t="s">
        <v>651</v>
      </c>
      <c r="L29" s="86" t="s">
        <v>295</v>
      </c>
      <c r="M29" s="86"/>
      <c r="N29" s="86"/>
      <c r="O29" s="86" t="s">
        <v>678</v>
      </c>
      <c r="P29" s="86" t="s">
        <v>149</v>
      </c>
      <c r="Q29" s="86" t="s">
        <v>639</v>
      </c>
      <c r="R29" s="86">
        <v>64</v>
      </c>
      <c r="S29" s="86" t="s">
        <v>147</v>
      </c>
      <c r="T29" s="87"/>
      <c r="U29" s="87"/>
      <c r="V29" s="87"/>
      <c r="W29" s="87"/>
      <c r="X29" s="87"/>
      <c r="Y29" s="87">
        <v>12057.86565</v>
      </c>
      <c r="Z29" s="87">
        <v>406679.82204</v>
      </c>
      <c r="AA29" s="87"/>
      <c r="AB29" s="87"/>
      <c r="AC29" s="87">
        <v>418737.68768999999</v>
      </c>
      <c r="AD29" s="78"/>
      <c r="AE29" s="78"/>
      <c r="AF29" s="78"/>
      <c r="AG29" s="88"/>
      <c r="AH29" s="78">
        <v>418737.68768999999</v>
      </c>
      <c r="AI29" s="78">
        <v>418737.68768999999</v>
      </c>
      <c r="AJ29" s="95">
        <f>IF(P29="","",IFERROR(ROUND(IF(OR(P29="G0B",P29="G0T"),Tabelle5[[#This Row],[AI]]/SUM(LER_01!$L$26:$L$27),Tabelle5[[#This Row],[AI]]/(SUM(LER_01!$K$26:$K$27)+IF(LER_01!$D$10&gt;=4,SUM(LER_01!$M$26:$M$27)))),3),""))</f>
        <v>0.22500000000000001</v>
      </c>
      <c r="AK29" s="91" t="str">
        <f>IF(P29="","",IF(OR(P29="SOV",P29="SOB",P29="G0T",P29="G0B"),"",IF(AND(OR(P29="BSS",P29="BFS"),LER_01!$D$10&lt;=2),15%,IF(AND(OR(P29="BSN",P29="BFN"),LER_01!$D$10&gt;=4),100%,25%))))</f>
        <v/>
      </c>
      <c r="AL29" s="77"/>
      <c r="AM29" s="78">
        <v>418737.68768999999</v>
      </c>
      <c r="AN29" s="78"/>
      <c r="AO29" s="79"/>
      <c r="AP29" s="94"/>
      <c r="AQ29" s="31"/>
      <c r="AR29" s="20"/>
      <c r="AS29" s="32" t="str">
        <f t="shared" si="0"/>
        <v/>
      </c>
      <c r="AT29" s="32" t="str">
        <f t="shared" si="1"/>
        <v/>
      </c>
      <c r="AU29" s="32" t="str">
        <f t="shared" si="2"/>
        <v/>
      </c>
      <c r="AV29" s="32" t="str">
        <f t="shared" si="3"/>
        <v/>
      </c>
      <c r="AW29" s="32" t="str">
        <f t="shared" si="4"/>
        <v/>
      </c>
      <c r="AX29" s="32" t="str">
        <f t="shared" si="5"/>
        <v/>
      </c>
      <c r="AY29" s="32" t="str">
        <f t="shared" si="6"/>
        <v/>
      </c>
      <c r="AZ29" s="32" t="str">
        <f t="shared" si="7"/>
        <v/>
      </c>
      <c r="BA29" s="32" t="str">
        <f t="shared" si="8"/>
        <v/>
      </c>
      <c r="BB29" s="32" t="str">
        <f t="shared" si="9"/>
        <v/>
      </c>
      <c r="BC29" s="32" t="str">
        <f>IF(ISBLANK(O29),"",IF(ISBLANK(AO29),"",IF(AO29&gt;='Delivery Note'!$H$5,IF(AO29&lt;='Delivery Note'!$H$5+92,"","ERROR"),"ERROR")))</f>
        <v/>
      </c>
      <c r="BD29" s="32" t="str">
        <f t="shared" si="10"/>
        <v/>
      </c>
      <c r="BE29" s="32" t="str">
        <f t="shared" si="11"/>
        <v/>
      </c>
    </row>
    <row r="30" spans="2:57" x14ac:dyDescent="0.2">
      <c r="B30" s="20"/>
      <c r="C30" s="53"/>
      <c r="E30" s="31">
        <v>30</v>
      </c>
      <c r="F30" s="47"/>
      <c r="G30" s="47"/>
      <c r="H30" s="47"/>
      <c r="I30" s="47"/>
      <c r="J30" s="76"/>
      <c r="K30" s="93" t="s">
        <v>652</v>
      </c>
      <c r="L30" s="86" t="s">
        <v>295</v>
      </c>
      <c r="M30" s="86"/>
      <c r="N30" s="86"/>
      <c r="O30" s="86" t="s">
        <v>679</v>
      </c>
      <c r="P30" s="86" t="s">
        <v>173</v>
      </c>
      <c r="Q30" s="86" t="s">
        <v>639</v>
      </c>
      <c r="R30" s="86">
        <v>64</v>
      </c>
      <c r="S30" s="86" t="s">
        <v>147</v>
      </c>
      <c r="T30" s="87"/>
      <c r="U30" s="87"/>
      <c r="V30" s="87"/>
      <c r="W30" s="87">
        <v>1.5499999999999999E-3</v>
      </c>
      <c r="X30" s="87"/>
      <c r="Y30" s="87"/>
      <c r="Z30" s="87">
        <v>323819.59999999998</v>
      </c>
      <c r="AA30" s="87"/>
      <c r="AB30" s="87"/>
      <c r="AC30" s="87">
        <v>323819.60154999996</v>
      </c>
      <c r="AD30" s="78"/>
      <c r="AE30" s="78"/>
      <c r="AF30" s="78">
        <v>-323819.60155000002</v>
      </c>
      <c r="AG30" s="88"/>
      <c r="AH30" s="78">
        <v>0</v>
      </c>
      <c r="AI30" s="78">
        <v>0</v>
      </c>
      <c r="AJ30" s="95">
        <f>IF(P30="","",IFERROR(ROUND(IF(OR(P30="G0B",P30="G0T"),Tabelle5[[#This Row],[AI]]/SUM(LER_01!$L$26:$L$27),Tabelle5[[#This Row],[AI]]/(SUM(LER_01!$K$26:$K$27)+IF(LER_01!$D$10&gt;=4,SUM(LER_01!$M$26:$M$27)))),3),""))</f>
        <v>0</v>
      </c>
      <c r="AK30" s="91">
        <f>IF(P30="","",IF(OR(P30="SOV",P30="SOB",P30="G0T",P30="G0B"),"",IF(AND(OR(P30="BSS",P30="BFS"),LER_01!$D$10&lt;=2),15%,IF(AND(OR(P30="BSN",P30="BFN"),LER_01!$D$10&gt;=4),100%,25%))))</f>
        <v>0.25</v>
      </c>
      <c r="AL30" s="77"/>
      <c r="AM30" s="78">
        <v>0</v>
      </c>
      <c r="AN30" s="78"/>
      <c r="AO30" s="79"/>
      <c r="AP30" s="94"/>
      <c r="AQ30" s="31"/>
      <c r="AR30" s="20"/>
      <c r="AS30" s="32" t="str">
        <f t="shared" si="0"/>
        <v/>
      </c>
      <c r="AT30" s="32" t="str">
        <f t="shared" si="1"/>
        <v/>
      </c>
      <c r="AU30" s="32" t="str">
        <f t="shared" si="2"/>
        <v/>
      </c>
      <c r="AV30" s="32" t="str">
        <f t="shared" si="3"/>
        <v/>
      </c>
      <c r="AW30" s="32" t="str">
        <f t="shared" si="4"/>
        <v/>
      </c>
      <c r="AX30" s="32" t="str">
        <f t="shared" si="5"/>
        <v/>
      </c>
      <c r="AY30" s="32" t="str">
        <f t="shared" si="6"/>
        <v/>
      </c>
      <c r="AZ30" s="32" t="str">
        <f t="shared" si="7"/>
        <v/>
      </c>
      <c r="BA30" s="32" t="str">
        <f t="shared" si="8"/>
        <v/>
      </c>
      <c r="BB30" s="32" t="str">
        <f t="shared" si="9"/>
        <v/>
      </c>
      <c r="BC30" s="32" t="str">
        <f>IF(ISBLANK(O30),"",IF(ISBLANK(AO30),"",IF(AO30&gt;='Delivery Note'!$H$5,IF(AO30&lt;='Delivery Note'!$H$5+92,"","ERROR"),"ERROR")))</f>
        <v/>
      </c>
      <c r="BD30" s="32" t="str">
        <f t="shared" si="10"/>
        <v/>
      </c>
      <c r="BE30" s="32" t="str">
        <f t="shared" si="11"/>
        <v/>
      </c>
    </row>
    <row r="31" spans="2:57" x14ac:dyDescent="0.2">
      <c r="B31" s="20"/>
      <c r="C31" s="53"/>
      <c r="E31" s="31">
        <v>31</v>
      </c>
      <c r="F31" s="47"/>
      <c r="G31" s="47"/>
      <c r="H31" s="47"/>
      <c r="I31" s="47"/>
      <c r="J31" s="76"/>
      <c r="K31" s="93" t="s">
        <v>653</v>
      </c>
      <c r="L31" s="86" t="s">
        <v>295</v>
      </c>
      <c r="M31" s="86"/>
      <c r="N31" s="86"/>
      <c r="O31" s="86" t="s">
        <v>680</v>
      </c>
      <c r="P31" s="86" t="s">
        <v>145</v>
      </c>
      <c r="Q31" s="86" t="s">
        <v>639</v>
      </c>
      <c r="R31" s="86">
        <v>84</v>
      </c>
      <c r="S31" s="86" t="s">
        <v>147</v>
      </c>
      <c r="T31" s="87"/>
      <c r="U31" s="87"/>
      <c r="V31" s="87"/>
      <c r="W31" s="87"/>
      <c r="X31" s="87"/>
      <c r="Y31" s="87"/>
      <c r="Z31" s="87"/>
      <c r="AA31" s="87">
        <v>712.98757999999998</v>
      </c>
      <c r="AB31" s="87">
        <v>319879.68294000003</v>
      </c>
      <c r="AC31" s="87">
        <v>320592.67052000004</v>
      </c>
      <c r="AD31" s="78"/>
      <c r="AE31" s="78"/>
      <c r="AF31" s="78"/>
      <c r="AG31" s="88"/>
      <c r="AH31" s="78">
        <v>320592.67052000004</v>
      </c>
      <c r="AI31" s="78">
        <v>320592.67052000004</v>
      </c>
      <c r="AJ31" s="95">
        <f>IF(P31="","",IFERROR(ROUND(IF(OR(P31="G0B",P31="G0T"),Tabelle5[[#This Row],[AI]]/SUM(LER_01!$L$26:$L$27),Tabelle5[[#This Row],[AI]]/(SUM(LER_01!$K$26:$K$27)+IF(LER_01!$D$10&gt;=4,SUM(LER_01!$M$26:$M$27)))),3),""))</f>
        <v>0.17299999999999999</v>
      </c>
      <c r="AK31" s="91" t="str">
        <f>IF(P31="","",IF(OR(P31="SOV",P31="SOB",P31="G0T",P31="G0B"),"",IF(AND(OR(P31="BSS",P31="BFS"),LER_01!$D$10&lt;=2),15%,IF(AND(OR(P31="BSN",P31="BFN"),LER_01!$D$10&gt;=4),100%,25%))))</f>
        <v/>
      </c>
      <c r="AL31" s="77"/>
      <c r="AM31" s="78">
        <v>320592.67052000004</v>
      </c>
      <c r="AN31" s="78"/>
      <c r="AO31" s="79"/>
      <c r="AP31" s="94"/>
      <c r="AQ31" s="31"/>
      <c r="AR31" s="20"/>
      <c r="AS31" s="32" t="str">
        <f t="shared" si="0"/>
        <v/>
      </c>
      <c r="AT31" s="32" t="str">
        <f t="shared" si="1"/>
        <v/>
      </c>
      <c r="AU31" s="32" t="str">
        <f t="shared" si="2"/>
        <v/>
      </c>
      <c r="AV31" s="32" t="str">
        <f t="shared" si="3"/>
        <v/>
      </c>
      <c r="AW31" s="32" t="str">
        <f t="shared" si="4"/>
        <v/>
      </c>
      <c r="AX31" s="32" t="str">
        <f t="shared" si="5"/>
        <v/>
      </c>
      <c r="AY31" s="32" t="str">
        <f t="shared" si="6"/>
        <v/>
      </c>
      <c r="AZ31" s="32" t="str">
        <f t="shared" si="7"/>
        <v/>
      </c>
      <c r="BA31" s="32" t="str">
        <f t="shared" si="8"/>
        <v/>
      </c>
      <c r="BB31" s="32" t="str">
        <f t="shared" si="9"/>
        <v/>
      </c>
      <c r="BC31" s="32" t="str">
        <f>IF(ISBLANK(O31),"",IF(ISBLANK(AO31),"",IF(AO31&gt;='Delivery Note'!$H$5,IF(AO31&lt;='Delivery Note'!$H$5+92,"","ERROR"),"ERROR")))</f>
        <v/>
      </c>
      <c r="BD31" s="32" t="str">
        <f t="shared" si="10"/>
        <v/>
      </c>
      <c r="BE31" s="32" t="str">
        <f t="shared" si="11"/>
        <v/>
      </c>
    </row>
    <row r="32" spans="2:57" x14ac:dyDescent="0.2">
      <c r="B32" s="20"/>
      <c r="C32" s="53"/>
      <c r="E32" s="31">
        <v>32</v>
      </c>
      <c r="F32" s="47"/>
      <c r="G32" s="47"/>
      <c r="H32" s="47"/>
      <c r="I32" s="47"/>
      <c r="J32" s="76"/>
      <c r="K32" s="93" t="s">
        <v>654</v>
      </c>
      <c r="L32" s="86" t="s">
        <v>295</v>
      </c>
      <c r="M32" s="86"/>
      <c r="N32" s="86"/>
      <c r="O32" s="86" t="s">
        <v>681</v>
      </c>
      <c r="P32" s="86" t="s">
        <v>165</v>
      </c>
      <c r="Q32" s="86" t="s">
        <v>639</v>
      </c>
      <c r="R32" s="86">
        <v>64</v>
      </c>
      <c r="S32" s="86" t="s">
        <v>147</v>
      </c>
      <c r="T32" s="87"/>
      <c r="U32" s="87"/>
      <c r="V32" s="87"/>
      <c r="W32" s="87"/>
      <c r="X32" s="87"/>
      <c r="Y32" s="87">
        <v>286522.98220000003</v>
      </c>
      <c r="Z32" s="87"/>
      <c r="AA32" s="87"/>
      <c r="AB32" s="87"/>
      <c r="AC32" s="87">
        <v>286522.98220000003</v>
      </c>
      <c r="AD32" s="78"/>
      <c r="AE32" s="78"/>
      <c r="AF32" s="78"/>
      <c r="AG32" s="88">
        <v>-286522.98220000003</v>
      </c>
      <c r="AH32" s="78">
        <v>0</v>
      </c>
      <c r="AI32" s="78">
        <v>0</v>
      </c>
      <c r="AJ32" s="95">
        <f>IF(P32="","",IFERROR(ROUND(IF(OR(P32="G0B",P32="G0T"),Tabelle5[[#This Row],[AI]]/SUM(LER_01!$L$26:$L$27),Tabelle5[[#This Row],[AI]]/(SUM(LER_01!$K$26:$K$27)+IF(LER_01!$D$10&gt;=4,SUM(LER_01!$M$26:$M$27)))),3),""))</f>
        <v>0</v>
      </c>
      <c r="AK32" s="91">
        <f>IF(P32="","",IF(OR(P32="SOV",P32="SOB",P32="G0T",P32="G0B"),"",IF(AND(OR(P32="BSS",P32="BFS"),LER_01!$D$10&lt;=2),15%,IF(AND(OR(P32="BSN",P32="BFN"),LER_01!$D$10&gt;=4),100%,25%))))</f>
        <v>0.25</v>
      </c>
      <c r="AL32" s="77"/>
      <c r="AM32" s="78">
        <v>0</v>
      </c>
      <c r="AN32" s="78"/>
      <c r="AO32" s="79"/>
      <c r="AP32" s="94"/>
      <c r="AQ32" s="31"/>
      <c r="AR32" s="20"/>
      <c r="AS32" s="32" t="str">
        <f t="shared" si="0"/>
        <v/>
      </c>
      <c r="AT32" s="32" t="str">
        <f t="shared" si="1"/>
        <v/>
      </c>
      <c r="AU32" s="32" t="str">
        <f t="shared" si="2"/>
        <v/>
      </c>
      <c r="AV32" s="32" t="str">
        <f t="shared" si="3"/>
        <v/>
      </c>
      <c r="AW32" s="32" t="str">
        <f t="shared" si="4"/>
        <v/>
      </c>
      <c r="AX32" s="32" t="str">
        <f t="shared" si="5"/>
        <v/>
      </c>
      <c r="AY32" s="32" t="str">
        <f t="shared" si="6"/>
        <v/>
      </c>
      <c r="AZ32" s="32" t="str">
        <f t="shared" si="7"/>
        <v/>
      </c>
      <c r="BA32" s="32" t="str">
        <f t="shared" si="8"/>
        <v/>
      </c>
      <c r="BB32" s="32" t="str">
        <f t="shared" si="9"/>
        <v/>
      </c>
      <c r="BC32" s="32" t="str">
        <f>IF(ISBLANK(O32),"",IF(ISBLANK(AO32),"",IF(AO32&gt;='Delivery Note'!$H$5,IF(AO32&lt;='Delivery Note'!$H$5+92,"","ERROR"),"ERROR")))</f>
        <v/>
      </c>
      <c r="BD32" s="32" t="str">
        <f t="shared" si="10"/>
        <v/>
      </c>
      <c r="BE32" s="32" t="str">
        <f t="shared" si="11"/>
        <v/>
      </c>
    </row>
    <row r="33" spans="2:57" x14ac:dyDescent="0.2">
      <c r="B33" s="20"/>
      <c r="C33" s="53"/>
      <c r="E33" s="31">
        <v>33</v>
      </c>
      <c r="F33" s="47"/>
      <c r="G33" s="47"/>
      <c r="H33" s="47"/>
      <c r="I33" s="47"/>
      <c r="J33" s="76"/>
      <c r="K33" s="93" t="s">
        <v>655</v>
      </c>
      <c r="L33" s="86" t="s">
        <v>295</v>
      </c>
      <c r="M33" s="86"/>
      <c r="N33" s="86"/>
      <c r="O33" s="86" t="s">
        <v>682</v>
      </c>
      <c r="P33" s="86" t="s">
        <v>173</v>
      </c>
      <c r="Q33" s="86" t="s">
        <v>639</v>
      </c>
      <c r="R33" s="86">
        <v>98</v>
      </c>
      <c r="S33" s="86" t="s">
        <v>147</v>
      </c>
      <c r="T33" s="87"/>
      <c r="U33" s="87"/>
      <c r="V33" s="87"/>
      <c r="W33" s="87"/>
      <c r="X33" s="87"/>
      <c r="Y33" s="87"/>
      <c r="Z33" s="87">
        <v>199913.23555000001</v>
      </c>
      <c r="AA33" s="87">
        <v>75912.22395</v>
      </c>
      <c r="AB33" s="87"/>
      <c r="AC33" s="87">
        <v>275825.4595</v>
      </c>
      <c r="AD33" s="78"/>
      <c r="AE33" s="78"/>
      <c r="AF33" s="78">
        <v>-195114.92421999999</v>
      </c>
      <c r="AG33" s="88"/>
      <c r="AH33" s="78">
        <v>80710.535280000011</v>
      </c>
      <c r="AI33" s="78">
        <v>80710.535280000011</v>
      </c>
      <c r="AJ33" s="95">
        <f>IF(P33="","",IFERROR(ROUND(IF(OR(P33="G0B",P33="G0T"),Tabelle5[[#This Row],[AI]]/SUM(LER_01!$L$26:$L$27),Tabelle5[[#This Row],[AI]]/(SUM(LER_01!$K$26:$K$27)+IF(LER_01!$D$10&gt;=4,SUM(LER_01!$M$26:$M$27)))),3),""))</f>
        <v>4.2999999999999997E-2</v>
      </c>
      <c r="AK33" s="91">
        <f>IF(P33="","",IF(OR(P33="SOV",P33="SOB",P33="G0T",P33="G0B"),"",IF(AND(OR(P33="BSS",P33="BFS"),LER_01!$D$10&lt;=2),15%,IF(AND(OR(P33="BSN",P33="BFN"),LER_01!$D$10&gt;=4),100%,25%))))</f>
        <v>0.25</v>
      </c>
      <c r="AL33" s="77"/>
      <c r="AM33" s="78">
        <v>80710.535280000011</v>
      </c>
      <c r="AN33" s="78"/>
      <c r="AO33" s="79"/>
      <c r="AP33" s="94"/>
      <c r="AQ33" s="31"/>
      <c r="AR33" s="20"/>
      <c r="AS33" s="32" t="str">
        <f t="shared" si="0"/>
        <v/>
      </c>
      <c r="AT33" s="32" t="str">
        <f t="shared" si="1"/>
        <v/>
      </c>
      <c r="AU33" s="32" t="str">
        <f t="shared" si="2"/>
        <v/>
      </c>
      <c r="AV33" s="32" t="str">
        <f t="shared" si="3"/>
        <v/>
      </c>
      <c r="AW33" s="32" t="str">
        <f t="shared" si="4"/>
        <v/>
      </c>
      <c r="AX33" s="32" t="str">
        <f t="shared" si="5"/>
        <v/>
      </c>
      <c r="AY33" s="32" t="str">
        <f t="shared" si="6"/>
        <v/>
      </c>
      <c r="AZ33" s="32" t="str">
        <f t="shared" si="7"/>
        <v/>
      </c>
      <c r="BA33" s="32" t="str">
        <f t="shared" si="8"/>
        <v/>
      </c>
      <c r="BB33" s="32" t="str">
        <f t="shared" si="9"/>
        <v/>
      </c>
      <c r="BC33" s="32" t="str">
        <f>IF(ISBLANK(O33),"",IF(ISBLANK(AO33),"",IF(AO33&gt;='Delivery Note'!$H$5,IF(AO33&lt;='Delivery Note'!$H$5+92,"","ERROR"),"ERROR")))</f>
        <v/>
      </c>
      <c r="BD33" s="32" t="str">
        <f t="shared" si="10"/>
        <v/>
      </c>
      <c r="BE33" s="32" t="str">
        <f t="shared" si="11"/>
        <v/>
      </c>
    </row>
    <row r="34" spans="2:57" x14ac:dyDescent="0.2">
      <c r="B34" s="20"/>
      <c r="C34" s="53"/>
      <c r="E34" s="31">
        <v>34</v>
      </c>
      <c r="F34" s="47"/>
      <c r="G34" s="47"/>
      <c r="H34" s="47"/>
      <c r="I34" s="47"/>
      <c r="J34" s="76"/>
      <c r="K34" s="93" t="s">
        <v>656</v>
      </c>
      <c r="L34" s="86" t="s">
        <v>295</v>
      </c>
      <c r="M34" s="86"/>
      <c r="N34" s="86"/>
      <c r="O34" s="86" t="s">
        <v>683</v>
      </c>
      <c r="P34" s="86" t="s">
        <v>167</v>
      </c>
      <c r="Q34" s="86" t="s">
        <v>639</v>
      </c>
      <c r="R34" s="86">
        <v>64</v>
      </c>
      <c r="S34" s="86" t="s">
        <v>151</v>
      </c>
      <c r="T34" s="87"/>
      <c r="U34" s="87"/>
      <c r="V34" s="87">
        <v>40157.39271</v>
      </c>
      <c r="W34" s="87">
        <v>7051.9160000000002</v>
      </c>
      <c r="X34" s="87"/>
      <c r="Y34" s="87">
        <v>15526.16136</v>
      </c>
      <c r="Z34" s="87">
        <v>170398.07746999999</v>
      </c>
      <c r="AA34" s="87">
        <v>49428.11292</v>
      </c>
      <c r="AB34" s="87"/>
      <c r="AC34" s="87">
        <v>282561.66045999998</v>
      </c>
      <c r="AD34" s="78"/>
      <c r="AE34" s="78"/>
      <c r="AF34" s="78"/>
      <c r="AG34" s="88"/>
      <c r="AH34" s="78">
        <v>282561.66045999998</v>
      </c>
      <c r="AI34" s="78">
        <v>282561.66045999998</v>
      </c>
      <c r="AJ34" s="95">
        <f>IF(P34="","",IFERROR(ROUND(IF(OR(P34="G0B",P34="G0T"),Tabelle5[[#This Row],[AI]]/SUM(LER_01!$L$26:$L$27),Tabelle5[[#This Row],[AI]]/(SUM(LER_01!$K$26:$K$27)+IF(LER_01!$D$10&gt;=4,SUM(LER_01!$M$26:$M$27)))),3),""))</f>
        <v>0.152</v>
      </c>
      <c r="AK34" s="91">
        <f>IF(P34="","",IF(OR(P34="SOV",P34="SOB",P34="G0T",P34="G0B"),"",IF(AND(OR(P34="BSS",P34="BFS"),LER_01!$D$10&lt;=2),15%,IF(AND(OR(P34="BSN",P34="BFN"),LER_01!$D$10&gt;=4),100%,25%))))</f>
        <v>0.25</v>
      </c>
      <c r="AL34" s="77"/>
      <c r="AM34" s="78">
        <v>282561.66045999998</v>
      </c>
      <c r="AN34" s="78"/>
      <c r="AO34" s="79"/>
      <c r="AP34" s="94"/>
      <c r="AQ34" s="31"/>
      <c r="AR34" s="20"/>
      <c r="AS34" s="32" t="str">
        <f t="shared" si="0"/>
        <v/>
      </c>
      <c r="AT34" s="32" t="str">
        <f t="shared" si="1"/>
        <v/>
      </c>
      <c r="AU34" s="32" t="str">
        <f t="shared" si="2"/>
        <v/>
      </c>
      <c r="AV34" s="32" t="str">
        <f t="shared" si="3"/>
        <v/>
      </c>
      <c r="AW34" s="32" t="str">
        <f t="shared" si="4"/>
        <v/>
      </c>
      <c r="AX34" s="32" t="str">
        <f t="shared" si="5"/>
        <v/>
      </c>
      <c r="AY34" s="32" t="str">
        <f t="shared" si="6"/>
        <v/>
      </c>
      <c r="AZ34" s="32" t="str">
        <f t="shared" si="7"/>
        <v/>
      </c>
      <c r="BA34" s="32" t="str">
        <f t="shared" si="8"/>
        <v/>
      </c>
      <c r="BB34" s="32" t="str">
        <f t="shared" si="9"/>
        <v/>
      </c>
      <c r="BC34" s="32" t="str">
        <f>IF(ISBLANK(O34),"",IF(ISBLANK(AO34),"",IF(AO34&gt;='Delivery Note'!$H$5,IF(AO34&lt;='Delivery Note'!$H$5+92,"","ERROR"),"ERROR")))</f>
        <v/>
      </c>
      <c r="BD34" s="32" t="str">
        <f t="shared" si="10"/>
        <v/>
      </c>
      <c r="BE34" s="32" t="str">
        <f t="shared" si="11"/>
        <v/>
      </c>
    </row>
    <row r="35" spans="2:57" x14ac:dyDescent="0.2">
      <c r="B35" s="20"/>
      <c r="C35" s="53"/>
      <c r="E35" s="31">
        <v>35</v>
      </c>
      <c r="F35" s="47"/>
      <c r="G35" s="47"/>
      <c r="H35" s="47"/>
      <c r="I35" s="47"/>
      <c r="J35" s="76"/>
      <c r="K35" s="93" t="s">
        <v>657</v>
      </c>
      <c r="L35" s="86" t="s">
        <v>295</v>
      </c>
      <c r="M35" s="86"/>
      <c r="N35" s="86"/>
      <c r="O35" s="86" t="s">
        <v>684</v>
      </c>
      <c r="P35" s="86" t="s">
        <v>145</v>
      </c>
      <c r="Q35" s="86" t="s">
        <v>639</v>
      </c>
      <c r="R35" s="86">
        <v>84</v>
      </c>
      <c r="S35" s="86" t="s">
        <v>147</v>
      </c>
      <c r="T35" s="87"/>
      <c r="U35" s="87"/>
      <c r="V35" s="87"/>
      <c r="W35" s="87"/>
      <c r="X35" s="87"/>
      <c r="Y35" s="87">
        <v>251018.39718</v>
      </c>
      <c r="Z35" s="87"/>
      <c r="AA35" s="87">
        <v>14968.05394</v>
      </c>
      <c r="AB35" s="87"/>
      <c r="AC35" s="87">
        <v>265986.45111999998</v>
      </c>
      <c r="AD35" s="78"/>
      <c r="AE35" s="78"/>
      <c r="AF35" s="78"/>
      <c r="AG35" s="88"/>
      <c r="AH35" s="78">
        <v>265986.45111999998</v>
      </c>
      <c r="AI35" s="78">
        <v>265986.45111999998</v>
      </c>
      <c r="AJ35" s="95">
        <f>IF(P35="","",IFERROR(ROUND(IF(OR(P35="G0B",P35="G0T"),Tabelle5[[#This Row],[AI]]/SUM(LER_01!$L$26:$L$27),Tabelle5[[#This Row],[AI]]/(SUM(LER_01!$K$26:$K$27)+IF(LER_01!$D$10&gt;=4,SUM(LER_01!$M$26:$M$27)))),3),""))</f>
        <v>0.14299999999999999</v>
      </c>
      <c r="AK35" s="91" t="str">
        <f>IF(P35="","",IF(OR(P35="SOV",P35="SOB",P35="G0T",P35="G0B"),"",IF(AND(OR(P35="BSS",P35="BFS"),LER_01!$D$10&lt;=2),15%,IF(AND(OR(P35="BSN",P35="BFN"),LER_01!$D$10&gt;=4),100%,25%))))</f>
        <v/>
      </c>
      <c r="AL35" s="77"/>
      <c r="AM35" s="78">
        <v>265986.45111999998</v>
      </c>
      <c r="AN35" s="78"/>
      <c r="AO35" s="79"/>
      <c r="AP35" s="94"/>
      <c r="AQ35" s="31"/>
      <c r="AR35" s="20"/>
      <c r="AS35" s="32" t="str">
        <f t="shared" si="0"/>
        <v/>
      </c>
      <c r="AT35" s="32" t="str">
        <f t="shared" si="1"/>
        <v/>
      </c>
      <c r="AU35" s="32" t="str">
        <f t="shared" si="2"/>
        <v/>
      </c>
      <c r="AV35" s="32" t="str">
        <f t="shared" si="3"/>
        <v/>
      </c>
      <c r="AW35" s="32" t="str">
        <f t="shared" si="4"/>
        <v/>
      </c>
      <c r="AX35" s="32" t="str">
        <f t="shared" si="5"/>
        <v/>
      </c>
      <c r="AY35" s="32" t="str">
        <f t="shared" si="6"/>
        <v/>
      </c>
      <c r="AZ35" s="32" t="str">
        <f t="shared" si="7"/>
        <v/>
      </c>
      <c r="BA35" s="32" t="str">
        <f t="shared" si="8"/>
        <v/>
      </c>
      <c r="BB35" s="32" t="str">
        <f t="shared" si="9"/>
        <v/>
      </c>
      <c r="BC35" s="32" t="str">
        <f>IF(ISBLANK(O35),"",IF(ISBLANK(AO35),"",IF(AO35&gt;='Delivery Note'!$H$5,IF(AO35&lt;='Delivery Note'!$H$5+92,"","ERROR"),"ERROR")))</f>
        <v/>
      </c>
      <c r="BD35" s="32" t="str">
        <f t="shared" si="10"/>
        <v/>
      </c>
      <c r="BE35" s="32" t="str">
        <f t="shared" si="11"/>
        <v/>
      </c>
    </row>
    <row r="36" spans="2:57" x14ac:dyDescent="0.2">
      <c r="B36" s="20"/>
      <c r="C36" s="53"/>
      <c r="E36" s="31">
        <v>36</v>
      </c>
      <c r="F36" s="47"/>
      <c r="G36" s="47"/>
      <c r="H36" s="47"/>
      <c r="I36" s="47"/>
      <c r="J36" s="76"/>
      <c r="K36" s="93" t="s">
        <v>658</v>
      </c>
      <c r="L36" s="86" t="s">
        <v>295</v>
      </c>
      <c r="M36" s="86"/>
      <c r="N36" s="86"/>
      <c r="O36" s="86" t="s">
        <v>685</v>
      </c>
      <c r="P36" s="86" t="s">
        <v>173</v>
      </c>
      <c r="Q36" s="86" t="s">
        <v>639</v>
      </c>
      <c r="R36" s="86">
        <v>64</v>
      </c>
      <c r="S36" s="86" t="s">
        <v>147</v>
      </c>
      <c r="T36" s="87"/>
      <c r="U36" s="87"/>
      <c r="V36" s="87"/>
      <c r="W36" s="87"/>
      <c r="X36" s="87"/>
      <c r="Y36" s="87"/>
      <c r="Z36" s="87">
        <v>194291.60547000001</v>
      </c>
      <c r="AA36" s="87">
        <v>63416.815979999999</v>
      </c>
      <c r="AB36" s="87"/>
      <c r="AC36" s="87">
        <v>257708.42145000002</v>
      </c>
      <c r="AD36" s="78"/>
      <c r="AE36" s="78"/>
      <c r="AF36" s="78">
        <v>-178986.01668999999</v>
      </c>
      <c r="AG36" s="88"/>
      <c r="AH36" s="78">
        <v>78722.404760000034</v>
      </c>
      <c r="AI36" s="78">
        <v>78722.404760000034</v>
      </c>
      <c r="AJ36" s="95">
        <f>IF(P36="","",IFERROR(ROUND(IF(OR(P36="G0B",P36="G0T"),Tabelle5[[#This Row],[AI]]/SUM(LER_01!$L$26:$L$27),Tabelle5[[#This Row],[AI]]/(SUM(LER_01!$K$26:$K$27)+IF(LER_01!$D$10&gt;=4,SUM(LER_01!$M$26:$M$27)))),3),""))</f>
        <v>4.2000000000000003E-2</v>
      </c>
      <c r="AK36" s="91">
        <f>IF(P36="","",IF(OR(P36="SOV",P36="SOB",P36="G0T",P36="G0B"),"",IF(AND(OR(P36="BSS",P36="BFS"),LER_01!$D$10&lt;=2),15%,IF(AND(OR(P36="BSN",P36="BFN"),LER_01!$D$10&gt;=4),100%,25%))))</f>
        <v>0.25</v>
      </c>
      <c r="AL36" s="77"/>
      <c r="AM36" s="78">
        <v>78722.404760000034</v>
      </c>
      <c r="AN36" s="78"/>
      <c r="AO36" s="79"/>
      <c r="AP36" s="94"/>
      <c r="AQ36" s="31"/>
      <c r="AR36" s="20"/>
      <c r="AS36" s="32" t="str">
        <f t="shared" si="0"/>
        <v/>
      </c>
      <c r="AT36" s="32" t="str">
        <f t="shared" si="1"/>
        <v/>
      </c>
      <c r="AU36" s="32" t="str">
        <f t="shared" si="2"/>
        <v/>
      </c>
      <c r="AV36" s="32" t="str">
        <f t="shared" si="3"/>
        <v/>
      </c>
      <c r="AW36" s="32" t="str">
        <f t="shared" si="4"/>
        <v/>
      </c>
      <c r="AX36" s="32" t="str">
        <f t="shared" si="5"/>
        <v/>
      </c>
      <c r="AY36" s="32" t="str">
        <f t="shared" si="6"/>
        <v/>
      </c>
      <c r="AZ36" s="32" t="str">
        <f t="shared" si="7"/>
        <v/>
      </c>
      <c r="BA36" s="32" t="str">
        <f t="shared" si="8"/>
        <v/>
      </c>
      <c r="BB36" s="32" t="str">
        <f t="shared" si="9"/>
        <v/>
      </c>
      <c r="BC36" s="32" t="str">
        <f>IF(ISBLANK(O36),"",IF(ISBLANK(AO36),"",IF(AO36&gt;='Delivery Note'!$H$5,IF(AO36&lt;='Delivery Note'!$H$5+92,"","ERROR"),"ERROR")))</f>
        <v/>
      </c>
      <c r="BD36" s="32" t="str">
        <f t="shared" si="10"/>
        <v/>
      </c>
      <c r="BE36" s="32" t="str">
        <f t="shared" si="11"/>
        <v/>
      </c>
    </row>
    <row r="37" spans="2:57" x14ac:dyDescent="0.2">
      <c r="B37" s="20"/>
      <c r="C37" s="53"/>
      <c r="E37" s="31">
        <v>37</v>
      </c>
      <c r="F37" s="47"/>
      <c r="G37" s="47"/>
      <c r="H37" s="47"/>
      <c r="I37" s="47"/>
      <c r="J37" s="76"/>
      <c r="K37" s="93" t="s">
        <v>659</v>
      </c>
      <c r="L37" s="86" t="s">
        <v>295</v>
      </c>
      <c r="M37" s="86"/>
      <c r="N37" s="86"/>
      <c r="O37" s="86" t="s">
        <v>686</v>
      </c>
      <c r="P37" s="86" t="s">
        <v>165</v>
      </c>
      <c r="Q37" s="86" t="s">
        <v>639</v>
      </c>
      <c r="R37" s="86">
        <v>64</v>
      </c>
      <c r="S37" s="86" t="s">
        <v>147</v>
      </c>
      <c r="T37" s="87"/>
      <c r="U37" s="87"/>
      <c r="V37" s="87"/>
      <c r="W37" s="87"/>
      <c r="X37" s="87"/>
      <c r="Y37" s="87">
        <v>254421.28748999999</v>
      </c>
      <c r="Z37" s="87"/>
      <c r="AA37" s="87"/>
      <c r="AB37" s="87"/>
      <c r="AC37" s="87">
        <v>254421.28748999999</v>
      </c>
      <c r="AD37" s="78"/>
      <c r="AE37" s="78"/>
      <c r="AF37" s="78"/>
      <c r="AG37" s="88">
        <v>-254421.28748999999</v>
      </c>
      <c r="AH37" s="78">
        <v>0</v>
      </c>
      <c r="AI37" s="78">
        <v>0</v>
      </c>
      <c r="AJ37" s="95">
        <f>IF(P37="","",IFERROR(ROUND(IF(OR(P37="G0B",P37="G0T"),Tabelle5[[#This Row],[AI]]/SUM(LER_01!$L$26:$L$27),Tabelle5[[#This Row],[AI]]/(SUM(LER_01!$K$26:$K$27)+IF(LER_01!$D$10&gt;=4,SUM(LER_01!$M$26:$M$27)))),3),""))</f>
        <v>0</v>
      </c>
      <c r="AK37" s="91">
        <f>IF(P37="","",IF(OR(P37="SOV",P37="SOB",P37="G0T",P37="G0B"),"",IF(AND(OR(P37="BSS",P37="BFS"),LER_01!$D$10&lt;=2),15%,IF(AND(OR(P37="BSN",P37="BFN"),LER_01!$D$10&gt;=4),100%,25%))))</f>
        <v>0.25</v>
      </c>
      <c r="AL37" s="77"/>
      <c r="AM37" s="78">
        <v>0</v>
      </c>
      <c r="AN37" s="78"/>
      <c r="AO37" s="79"/>
      <c r="AP37" s="94"/>
      <c r="AQ37" s="31"/>
      <c r="AR37" s="20"/>
      <c r="AS37" s="32" t="str">
        <f t="shared" si="0"/>
        <v/>
      </c>
      <c r="AT37" s="32" t="str">
        <f t="shared" si="1"/>
        <v/>
      </c>
      <c r="AU37" s="32" t="str">
        <f t="shared" si="2"/>
        <v/>
      </c>
      <c r="AV37" s="32" t="str">
        <f t="shared" si="3"/>
        <v/>
      </c>
      <c r="AW37" s="32" t="str">
        <f t="shared" si="4"/>
        <v/>
      </c>
      <c r="AX37" s="32" t="str">
        <f t="shared" si="5"/>
        <v/>
      </c>
      <c r="AY37" s="32" t="str">
        <f t="shared" si="6"/>
        <v/>
      </c>
      <c r="AZ37" s="32" t="str">
        <f t="shared" si="7"/>
        <v/>
      </c>
      <c r="BA37" s="32" t="str">
        <f t="shared" si="8"/>
        <v/>
      </c>
      <c r="BB37" s="32" t="str">
        <f t="shared" si="9"/>
        <v/>
      </c>
      <c r="BC37" s="32" t="str">
        <f>IF(ISBLANK(O37),"",IF(ISBLANK(AO37),"",IF(AO37&gt;='Delivery Note'!$H$5,IF(AO37&lt;='Delivery Note'!$H$5+92,"","ERROR"),"ERROR")))</f>
        <v/>
      </c>
      <c r="BD37" s="32" t="str">
        <f t="shared" si="10"/>
        <v/>
      </c>
      <c r="BE37" s="32" t="str">
        <f t="shared" si="11"/>
        <v/>
      </c>
    </row>
    <row r="38" spans="2:57" x14ac:dyDescent="0.2">
      <c r="B38" s="20"/>
      <c r="C38" s="53"/>
      <c r="E38" s="31">
        <v>38</v>
      </c>
      <c r="F38" s="47"/>
      <c r="G38" s="47"/>
      <c r="H38" s="47"/>
      <c r="I38" s="47"/>
      <c r="J38" s="76"/>
      <c r="K38" s="93" t="s">
        <v>660</v>
      </c>
      <c r="L38" s="86" t="s">
        <v>295</v>
      </c>
      <c r="M38" s="86"/>
      <c r="N38" s="86"/>
      <c r="O38" s="86" t="s">
        <v>687</v>
      </c>
      <c r="P38" s="86" t="s">
        <v>145</v>
      </c>
      <c r="Q38" s="86" t="s">
        <v>639</v>
      </c>
      <c r="R38" s="86">
        <v>84</v>
      </c>
      <c r="S38" s="86" t="s">
        <v>147</v>
      </c>
      <c r="T38" s="87"/>
      <c r="U38" s="87"/>
      <c r="V38" s="87"/>
      <c r="W38" s="87"/>
      <c r="X38" s="87"/>
      <c r="Y38" s="87">
        <v>34766.901960000003</v>
      </c>
      <c r="Z38" s="87"/>
      <c r="AA38" s="87">
        <v>3078.3284600000002</v>
      </c>
      <c r="AB38" s="87">
        <v>205307.01217</v>
      </c>
      <c r="AC38" s="87">
        <v>243152.24259000001</v>
      </c>
      <c r="AD38" s="78"/>
      <c r="AE38" s="78"/>
      <c r="AF38" s="78"/>
      <c r="AG38" s="88"/>
      <c r="AH38" s="78">
        <v>243152.24259000001</v>
      </c>
      <c r="AI38" s="78">
        <v>243152.24259000001</v>
      </c>
      <c r="AJ38" s="95">
        <f>IF(P38="","",IFERROR(ROUND(IF(OR(P38="G0B",P38="G0T"),Tabelle5[[#This Row],[AI]]/SUM(LER_01!$L$26:$L$27),Tabelle5[[#This Row],[AI]]/(SUM(LER_01!$K$26:$K$27)+IF(LER_01!$D$10&gt;=4,SUM(LER_01!$M$26:$M$27)))),3),""))</f>
        <v>0.13100000000000001</v>
      </c>
      <c r="AK38" s="91" t="str">
        <f>IF(P38="","",IF(OR(P38="SOV",P38="SOB",P38="G0T",P38="G0B"),"",IF(AND(OR(P38="BSS",P38="BFS"),LER_01!$D$10&lt;=2),15%,IF(AND(OR(P38="BSN",P38="BFN"),LER_01!$D$10&gt;=4),100%,25%))))</f>
        <v/>
      </c>
      <c r="AL38" s="77"/>
      <c r="AM38" s="78">
        <v>243152.24259000001</v>
      </c>
      <c r="AN38" s="78"/>
      <c r="AO38" s="79"/>
      <c r="AP38" s="94"/>
      <c r="AQ38" s="31"/>
      <c r="AR38" s="20"/>
      <c r="AS38" s="32" t="str">
        <f t="shared" si="0"/>
        <v/>
      </c>
      <c r="AT38" s="32" t="str">
        <f t="shared" si="1"/>
        <v/>
      </c>
      <c r="AU38" s="32" t="str">
        <f t="shared" si="2"/>
        <v/>
      </c>
      <c r="AV38" s="32" t="str">
        <f t="shared" si="3"/>
        <v/>
      </c>
      <c r="AW38" s="32" t="str">
        <f t="shared" si="4"/>
        <v/>
      </c>
      <c r="AX38" s="32" t="str">
        <f t="shared" si="5"/>
        <v/>
      </c>
      <c r="AY38" s="32" t="str">
        <f t="shared" si="6"/>
        <v/>
      </c>
      <c r="AZ38" s="32" t="str">
        <f t="shared" si="7"/>
        <v/>
      </c>
      <c r="BA38" s="32" t="str">
        <f t="shared" si="8"/>
        <v/>
      </c>
      <c r="BB38" s="32" t="str">
        <f t="shared" si="9"/>
        <v/>
      </c>
      <c r="BC38" s="32" t="str">
        <f>IF(ISBLANK(O38),"",IF(ISBLANK(AO38),"",IF(AO38&gt;='Delivery Note'!$H$5,IF(AO38&lt;='Delivery Note'!$H$5+92,"","ERROR"),"ERROR")))</f>
        <v/>
      </c>
      <c r="BD38" s="32" t="str">
        <f t="shared" si="10"/>
        <v/>
      </c>
      <c r="BE38" s="32" t="str">
        <f t="shared" si="11"/>
        <v/>
      </c>
    </row>
    <row r="39" spans="2:57" x14ac:dyDescent="0.2">
      <c r="B39" s="20"/>
      <c r="C39" s="53"/>
      <c r="E39" s="31">
        <v>39</v>
      </c>
      <c r="F39" s="47"/>
      <c r="G39" s="47"/>
      <c r="H39" s="47"/>
      <c r="I39" s="47"/>
      <c r="J39" s="76"/>
      <c r="K39" s="93" t="s">
        <v>661</v>
      </c>
      <c r="L39" s="86" t="s">
        <v>295</v>
      </c>
      <c r="M39" s="86"/>
      <c r="N39" s="86"/>
      <c r="O39" s="86" t="s">
        <v>688</v>
      </c>
      <c r="P39" s="86" t="s">
        <v>187</v>
      </c>
      <c r="Q39" s="86" t="s">
        <v>639</v>
      </c>
      <c r="R39" s="86">
        <v>33</v>
      </c>
      <c r="S39" s="86" t="s">
        <v>147</v>
      </c>
      <c r="T39" s="87"/>
      <c r="U39" s="87"/>
      <c r="V39" s="87">
        <v>11.453609999999999</v>
      </c>
      <c r="W39" s="87">
        <v>237123.08663999999</v>
      </c>
      <c r="X39" s="87"/>
      <c r="Y39" s="87"/>
      <c r="Z39" s="87"/>
      <c r="AA39" s="87"/>
      <c r="AB39" s="87"/>
      <c r="AC39" s="87">
        <v>237134.54024999999</v>
      </c>
      <c r="AD39" s="78"/>
      <c r="AE39" s="78"/>
      <c r="AF39" s="78">
        <v>-237123.08663999999</v>
      </c>
      <c r="AG39" s="88"/>
      <c r="AH39" s="78">
        <v>11.453609999996843</v>
      </c>
      <c r="AI39" s="78">
        <v>11.453609999996843</v>
      </c>
      <c r="AJ39" s="95">
        <f>IF(P39="","",IFERROR(ROUND(IF(OR(P39="G0B",P39="G0T"),Tabelle5[[#This Row],[AI]]/SUM(LER_01!$L$26:$L$27),Tabelle5[[#This Row],[AI]]/(SUM(LER_01!$K$26:$K$27)+IF(LER_01!$D$10&gt;=4,SUM(LER_01!$M$26:$M$27)))),3),""))</f>
        <v>0</v>
      </c>
      <c r="AK39" s="91">
        <f>IF(P39="","",IF(OR(P39="SOV",P39="SOB",P39="G0T",P39="G0B"),"",IF(AND(OR(P39="BSS",P39="BFS"),LER_01!$D$10&lt;=2),15%,IF(AND(OR(P39="BSN",P39="BFN"),LER_01!$D$10&gt;=4),100%,25%))))</f>
        <v>0.25</v>
      </c>
      <c r="AL39" s="77"/>
      <c r="AM39" s="78">
        <v>11.453609999996843</v>
      </c>
      <c r="AN39" s="78"/>
      <c r="AO39" s="79"/>
      <c r="AP39" s="94"/>
      <c r="AQ39" s="31"/>
      <c r="AR39" s="20"/>
      <c r="AS39" s="32" t="str">
        <f t="shared" si="0"/>
        <v/>
      </c>
      <c r="AT39" s="32" t="str">
        <f t="shared" si="1"/>
        <v/>
      </c>
      <c r="AU39" s="32" t="str">
        <f t="shared" si="2"/>
        <v/>
      </c>
      <c r="AV39" s="32" t="str">
        <f t="shared" si="3"/>
        <v/>
      </c>
      <c r="AW39" s="32" t="str">
        <f t="shared" si="4"/>
        <v/>
      </c>
      <c r="AX39" s="32" t="str">
        <f t="shared" si="5"/>
        <v/>
      </c>
      <c r="AY39" s="32" t="str">
        <f t="shared" si="6"/>
        <v/>
      </c>
      <c r="AZ39" s="32" t="str">
        <f t="shared" si="7"/>
        <v/>
      </c>
      <c r="BA39" s="32" t="str">
        <f t="shared" si="8"/>
        <v/>
      </c>
      <c r="BB39" s="32" t="str">
        <f t="shared" si="9"/>
        <v/>
      </c>
      <c r="BC39" s="32" t="str">
        <f>IF(ISBLANK(O39),"",IF(ISBLANK(AO39),"",IF(AO39&gt;='Delivery Note'!$H$5,IF(AO39&lt;='Delivery Note'!$H$5+92,"","ERROR"),"ERROR")))</f>
        <v/>
      </c>
      <c r="BD39" s="32" t="str">
        <f t="shared" si="10"/>
        <v/>
      </c>
      <c r="BE39" s="32" t="str">
        <f t="shared" si="11"/>
        <v/>
      </c>
    </row>
    <row r="40" spans="2:57" x14ac:dyDescent="0.2">
      <c r="B40" s="20"/>
      <c r="C40" s="53"/>
      <c r="E40" s="31">
        <v>40</v>
      </c>
      <c r="F40" s="47"/>
      <c r="G40" s="47"/>
      <c r="H40" s="47"/>
      <c r="I40" s="47"/>
      <c r="J40" s="76"/>
      <c r="K40" s="93" t="s">
        <v>662</v>
      </c>
      <c r="L40" s="86" t="s">
        <v>295</v>
      </c>
      <c r="M40" s="86"/>
      <c r="N40" s="86"/>
      <c r="O40" s="86" t="s">
        <v>689</v>
      </c>
      <c r="P40" s="86" t="s">
        <v>165</v>
      </c>
      <c r="Q40" s="86" t="s">
        <v>639</v>
      </c>
      <c r="R40" s="86" t="s">
        <v>262</v>
      </c>
      <c r="S40" s="86" t="s">
        <v>147</v>
      </c>
      <c r="T40" s="87"/>
      <c r="U40" s="87"/>
      <c r="V40" s="87"/>
      <c r="W40" s="87"/>
      <c r="X40" s="87"/>
      <c r="Y40" s="87">
        <v>203550.41777999999</v>
      </c>
      <c r="Z40" s="87"/>
      <c r="AA40" s="87"/>
      <c r="AB40" s="87"/>
      <c r="AC40" s="87">
        <v>203550.41777999999</v>
      </c>
      <c r="AD40" s="78"/>
      <c r="AE40" s="78"/>
      <c r="AF40" s="78"/>
      <c r="AG40" s="88">
        <v>-203550.41777999999</v>
      </c>
      <c r="AH40" s="78">
        <v>0</v>
      </c>
      <c r="AI40" s="78">
        <v>0</v>
      </c>
      <c r="AJ40" s="95">
        <f>IF(P40="","",IFERROR(ROUND(IF(OR(P40="G0B",P40="G0T"),Tabelle5[[#This Row],[AI]]/SUM(LER_01!$L$26:$L$27),Tabelle5[[#This Row],[AI]]/(SUM(LER_01!$K$26:$K$27)+IF(LER_01!$D$10&gt;=4,SUM(LER_01!$M$26:$M$27)))),3),""))</f>
        <v>0</v>
      </c>
      <c r="AK40" s="91">
        <f>IF(P40="","",IF(OR(P40="SOV",P40="SOB",P40="G0T",P40="G0B"),"",IF(AND(OR(P40="BSS",P40="BFS"),LER_01!$D$10&lt;=2),15%,IF(AND(OR(P40="BSN",P40="BFN"),LER_01!$D$10&gt;=4),100%,25%))))</f>
        <v>0.25</v>
      </c>
      <c r="AL40" s="77"/>
      <c r="AM40" s="78">
        <v>0</v>
      </c>
      <c r="AN40" s="78"/>
      <c r="AO40" s="79"/>
      <c r="AP40" s="94"/>
      <c r="AQ40" s="31"/>
      <c r="AR40" s="20"/>
      <c r="AS40" s="32" t="str">
        <f t="shared" si="0"/>
        <v/>
      </c>
      <c r="AT40" s="32" t="str">
        <f t="shared" si="1"/>
        <v/>
      </c>
      <c r="AU40" s="32" t="str">
        <f t="shared" si="2"/>
        <v/>
      </c>
      <c r="AV40" s="32" t="str">
        <f t="shared" si="3"/>
        <v/>
      </c>
      <c r="AW40" s="32" t="str">
        <f t="shared" si="4"/>
        <v/>
      </c>
      <c r="AX40" s="32" t="str">
        <f t="shared" si="5"/>
        <v/>
      </c>
      <c r="AY40" s="32" t="str">
        <f t="shared" si="6"/>
        <v/>
      </c>
      <c r="AZ40" s="32" t="str">
        <f t="shared" si="7"/>
        <v/>
      </c>
      <c r="BA40" s="32" t="str">
        <f t="shared" si="8"/>
        <v/>
      </c>
      <c r="BB40" s="32" t="str">
        <f t="shared" si="9"/>
        <v/>
      </c>
      <c r="BC40" s="32" t="str">
        <f>IF(ISBLANK(O40),"",IF(ISBLANK(AO40),"",IF(AO40&gt;='Delivery Note'!$H$5,IF(AO40&lt;='Delivery Note'!$H$5+92,"","ERROR"),"ERROR")))</f>
        <v/>
      </c>
      <c r="BD40" s="32" t="str">
        <f t="shared" si="10"/>
        <v/>
      </c>
      <c r="BE40" s="32" t="str">
        <f t="shared" si="11"/>
        <v/>
      </c>
    </row>
    <row r="41" spans="2:57" x14ac:dyDescent="0.2">
      <c r="B41" s="20"/>
      <c r="C41" s="53"/>
      <c r="E41" s="31">
        <v>41</v>
      </c>
      <c r="F41" s="47"/>
      <c r="G41" s="47"/>
      <c r="H41" s="47"/>
      <c r="I41" s="47"/>
      <c r="J41" s="76"/>
      <c r="K41" s="93" t="s">
        <v>663</v>
      </c>
      <c r="L41" s="86" t="s">
        <v>295</v>
      </c>
      <c r="M41" s="86"/>
      <c r="N41" s="86"/>
      <c r="O41" s="86" t="s">
        <v>690</v>
      </c>
      <c r="P41" s="86" t="s">
        <v>173</v>
      </c>
      <c r="Q41" s="86" t="s">
        <v>639</v>
      </c>
      <c r="R41" s="86">
        <v>64</v>
      </c>
      <c r="S41" s="86" t="s">
        <v>147</v>
      </c>
      <c r="T41" s="87"/>
      <c r="U41" s="87"/>
      <c r="V41" s="87"/>
      <c r="W41" s="87"/>
      <c r="X41" s="87"/>
      <c r="Y41" s="87">
        <v>202270.68066000001</v>
      </c>
      <c r="Z41" s="87"/>
      <c r="AA41" s="87">
        <v>366.05491000000001</v>
      </c>
      <c r="AB41" s="87"/>
      <c r="AC41" s="87">
        <v>202636.73557000002</v>
      </c>
      <c r="AD41" s="78"/>
      <c r="AE41" s="78"/>
      <c r="AF41" s="78"/>
      <c r="AG41" s="88"/>
      <c r="AH41" s="78">
        <v>202636.73557000002</v>
      </c>
      <c r="AI41" s="78">
        <v>202636.73557000002</v>
      </c>
      <c r="AJ41" s="95">
        <f>IF(P41="","",IFERROR(ROUND(IF(OR(P41="G0B",P41="G0T"),Tabelle5[[#This Row],[AI]]/SUM(LER_01!$L$26:$L$27),Tabelle5[[#This Row],[AI]]/(SUM(LER_01!$K$26:$K$27)+IF(LER_01!$D$10&gt;=4,SUM(LER_01!$M$26:$M$27)))),3),""))</f>
        <v>0.109</v>
      </c>
      <c r="AK41" s="91">
        <f>IF(P41="","",IF(OR(P41="SOV",P41="SOB",P41="G0T",P41="G0B"),"",IF(AND(OR(P41="BSS",P41="BFS"),LER_01!$D$10&lt;=2),15%,IF(AND(OR(P41="BSN",P41="BFN"),LER_01!$D$10&gt;=4),100%,25%))))</f>
        <v>0.25</v>
      </c>
      <c r="AL41" s="77"/>
      <c r="AM41" s="78">
        <v>202636.73557000002</v>
      </c>
      <c r="AN41" s="78"/>
      <c r="AO41" s="79"/>
      <c r="AP41" s="94"/>
      <c r="AQ41" s="31"/>
      <c r="AR41" s="20"/>
      <c r="AS41" s="32" t="str">
        <f t="shared" si="0"/>
        <v/>
      </c>
      <c r="AT41" s="32" t="str">
        <f t="shared" si="1"/>
        <v/>
      </c>
      <c r="AU41" s="32" t="str">
        <f t="shared" si="2"/>
        <v/>
      </c>
      <c r="AV41" s="32" t="str">
        <f t="shared" si="3"/>
        <v/>
      </c>
      <c r="AW41" s="32" t="str">
        <f t="shared" si="4"/>
        <v/>
      </c>
      <c r="AX41" s="32" t="str">
        <f t="shared" si="5"/>
        <v/>
      </c>
      <c r="AY41" s="32" t="str">
        <f t="shared" si="6"/>
        <v/>
      </c>
      <c r="AZ41" s="32" t="str">
        <f t="shared" si="7"/>
        <v/>
      </c>
      <c r="BA41" s="32" t="str">
        <f t="shared" si="8"/>
        <v/>
      </c>
      <c r="BB41" s="32" t="str">
        <f t="shared" si="9"/>
        <v/>
      </c>
      <c r="BC41" s="32" t="str">
        <f>IF(ISBLANK(O41),"",IF(ISBLANK(AO41),"",IF(AO41&gt;='Delivery Note'!$H$5,IF(AO41&lt;='Delivery Note'!$H$5+92,"","ERROR"),"ERROR")))</f>
        <v/>
      </c>
      <c r="BD41" s="32" t="str">
        <f t="shared" si="10"/>
        <v/>
      </c>
      <c r="BE41" s="32" t="str">
        <f t="shared" si="11"/>
        <v/>
      </c>
    </row>
    <row r="42" spans="2:57" x14ac:dyDescent="0.2">
      <c r="B42" s="20"/>
      <c r="C42" s="53"/>
      <c r="E42" s="31">
        <v>42</v>
      </c>
      <c r="F42" s="47"/>
      <c r="G42" s="47"/>
      <c r="H42" s="47"/>
      <c r="I42" s="47"/>
      <c r="J42" s="76"/>
      <c r="K42" s="93" t="s">
        <v>664</v>
      </c>
      <c r="L42" s="86" t="s">
        <v>295</v>
      </c>
      <c r="M42" s="86"/>
      <c r="N42" s="86"/>
      <c r="O42" s="86" t="s">
        <v>691</v>
      </c>
      <c r="P42" s="86" t="s">
        <v>173</v>
      </c>
      <c r="Q42" s="86" t="s">
        <v>639</v>
      </c>
      <c r="R42" s="86">
        <v>64</v>
      </c>
      <c r="S42" s="86" t="s">
        <v>147</v>
      </c>
      <c r="T42" s="87"/>
      <c r="U42" s="87"/>
      <c r="V42" s="87"/>
      <c r="W42" s="87"/>
      <c r="X42" s="87"/>
      <c r="Y42" s="87"/>
      <c r="Z42" s="87">
        <v>198339.505</v>
      </c>
      <c r="AA42" s="87"/>
      <c r="AB42" s="87"/>
      <c r="AC42" s="87">
        <v>198339.505</v>
      </c>
      <c r="AD42" s="78"/>
      <c r="AE42" s="78"/>
      <c r="AF42" s="78">
        <v>-198339.505</v>
      </c>
      <c r="AG42" s="88"/>
      <c r="AH42" s="78">
        <v>0</v>
      </c>
      <c r="AI42" s="78">
        <v>0</v>
      </c>
      <c r="AJ42" s="95">
        <f>IF(P42="","",IFERROR(ROUND(IF(OR(P42="G0B",P42="G0T"),Tabelle5[[#This Row],[AI]]/SUM(LER_01!$L$26:$L$27),Tabelle5[[#This Row],[AI]]/(SUM(LER_01!$K$26:$K$27)+IF(LER_01!$D$10&gt;=4,SUM(LER_01!$M$26:$M$27)))),3),""))</f>
        <v>0</v>
      </c>
      <c r="AK42" s="91">
        <f>IF(P42="","",IF(OR(P42="SOV",P42="SOB",P42="G0T",P42="G0B"),"",IF(AND(OR(P42="BSS",P42="BFS"),LER_01!$D$10&lt;=2),15%,IF(AND(OR(P42="BSN",P42="BFN"),LER_01!$D$10&gt;=4),100%,25%))))</f>
        <v>0.25</v>
      </c>
      <c r="AL42" s="77"/>
      <c r="AM42" s="78">
        <v>0</v>
      </c>
      <c r="AN42" s="78"/>
      <c r="AO42" s="79"/>
      <c r="AP42" s="94"/>
      <c r="AQ42" s="31"/>
      <c r="AR42" s="20"/>
      <c r="AS42" s="32" t="str">
        <f t="shared" si="0"/>
        <v/>
      </c>
      <c r="AT42" s="32" t="str">
        <f t="shared" si="1"/>
        <v/>
      </c>
      <c r="AU42" s="32" t="str">
        <f t="shared" si="2"/>
        <v/>
      </c>
      <c r="AV42" s="32" t="str">
        <f t="shared" si="3"/>
        <v/>
      </c>
      <c r="AW42" s="32" t="str">
        <f t="shared" si="4"/>
        <v/>
      </c>
      <c r="AX42" s="32" t="str">
        <f t="shared" si="5"/>
        <v/>
      </c>
      <c r="AY42" s="32" t="str">
        <f t="shared" si="6"/>
        <v/>
      </c>
      <c r="AZ42" s="32" t="str">
        <f t="shared" si="7"/>
        <v/>
      </c>
      <c r="BA42" s="32" t="str">
        <f t="shared" si="8"/>
        <v/>
      </c>
      <c r="BB42" s="32" t="str">
        <f t="shared" si="9"/>
        <v/>
      </c>
      <c r="BC42" s="32" t="str">
        <f>IF(ISBLANK(O42),"",IF(ISBLANK(AO42),"",IF(AO42&gt;='Delivery Note'!$H$5,IF(AO42&lt;='Delivery Note'!$H$5+92,"","ERROR"),"ERROR")))</f>
        <v/>
      </c>
      <c r="BD42" s="32" t="str">
        <f t="shared" si="10"/>
        <v/>
      </c>
      <c r="BE42" s="32" t="str">
        <f t="shared" si="11"/>
        <v/>
      </c>
    </row>
    <row r="43" spans="2:57" x14ac:dyDescent="0.2">
      <c r="B43" s="20"/>
      <c r="C43" s="53"/>
      <c r="E43" s="31">
        <v>43</v>
      </c>
      <c r="F43" s="47"/>
      <c r="G43" s="47"/>
      <c r="H43" s="47"/>
      <c r="I43" s="47"/>
      <c r="J43" s="76"/>
      <c r="K43" s="93" t="s">
        <v>665</v>
      </c>
      <c r="L43" s="86" t="s">
        <v>295</v>
      </c>
      <c r="M43" s="86"/>
      <c r="N43" s="86"/>
      <c r="O43" s="86" t="s">
        <v>692</v>
      </c>
      <c r="P43" s="86" t="s">
        <v>173</v>
      </c>
      <c r="Q43" s="86" t="s">
        <v>639</v>
      </c>
      <c r="R43" s="86">
        <v>64</v>
      </c>
      <c r="S43" s="86" t="s">
        <v>147</v>
      </c>
      <c r="T43" s="87"/>
      <c r="U43" s="87"/>
      <c r="V43" s="87"/>
      <c r="W43" s="87"/>
      <c r="X43" s="87"/>
      <c r="Y43" s="87">
        <v>196261.74148</v>
      </c>
      <c r="Z43" s="87"/>
      <c r="AA43" s="87"/>
      <c r="AB43" s="87"/>
      <c r="AC43" s="87">
        <v>196261.74148</v>
      </c>
      <c r="AD43" s="78"/>
      <c r="AE43" s="78"/>
      <c r="AF43" s="78"/>
      <c r="AG43" s="88"/>
      <c r="AH43" s="78">
        <v>196261.74148</v>
      </c>
      <c r="AI43" s="78">
        <v>196261.74148</v>
      </c>
      <c r="AJ43" s="95">
        <f>IF(P43="","",IFERROR(ROUND(IF(OR(P43="G0B",P43="G0T"),Tabelle5[[#This Row],[AI]]/SUM(LER_01!$L$26:$L$27),Tabelle5[[#This Row],[AI]]/(SUM(LER_01!$K$26:$K$27)+IF(LER_01!$D$10&gt;=4,SUM(LER_01!$M$26:$M$27)))),3),""))</f>
        <v>0.106</v>
      </c>
      <c r="AK43" s="91">
        <f>IF(P43="","",IF(OR(P43="SOV",P43="SOB",P43="G0T",P43="G0B"),"",IF(AND(OR(P43="BSS",P43="BFS"),LER_01!$D$10&lt;=2),15%,IF(AND(OR(P43="BSN",P43="BFN"),LER_01!$D$10&gt;=4),100%,25%))))</f>
        <v>0.25</v>
      </c>
      <c r="AL43" s="77"/>
      <c r="AM43" s="78">
        <v>196261.74148</v>
      </c>
      <c r="AN43" s="78"/>
      <c r="AO43" s="79"/>
      <c r="AP43" s="94"/>
      <c r="AQ43" s="31"/>
      <c r="AR43" s="20"/>
      <c r="AS43" s="32" t="str">
        <f t="shared" si="0"/>
        <v/>
      </c>
      <c r="AT43" s="32" t="str">
        <f t="shared" si="1"/>
        <v/>
      </c>
      <c r="AU43" s="32" t="str">
        <f t="shared" si="2"/>
        <v/>
      </c>
      <c r="AV43" s="32" t="str">
        <f t="shared" si="3"/>
        <v/>
      </c>
      <c r="AW43" s="32" t="str">
        <f t="shared" si="4"/>
        <v/>
      </c>
      <c r="AX43" s="32" t="str">
        <f t="shared" si="5"/>
        <v/>
      </c>
      <c r="AY43" s="32" t="str">
        <f t="shared" si="6"/>
        <v/>
      </c>
      <c r="AZ43" s="32" t="str">
        <f t="shared" si="7"/>
        <v/>
      </c>
      <c r="BA43" s="32" t="str">
        <f t="shared" si="8"/>
        <v/>
      </c>
      <c r="BB43" s="32" t="str">
        <f t="shared" si="9"/>
        <v/>
      </c>
      <c r="BC43" s="32" t="str">
        <f>IF(ISBLANK(O43),"",IF(ISBLANK(AO43),"",IF(AO43&gt;='Delivery Note'!$H$5,IF(AO43&lt;='Delivery Note'!$H$5+92,"","ERROR"),"ERROR")))</f>
        <v/>
      </c>
      <c r="BD43" s="32" t="str">
        <f t="shared" si="10"/>
        <v/>
      </c>
      <c r="BE43" s="32" t="str">
        <f t="shared" si="11"/>
        <v/>
      </c>
    </row>
    <row r="44" spans="2:57" x14ac:dyDescent="0.2">
      <c r="B44" s="20"/>
      <c r="C44" s="53"/>
      <c r="E44" s="31">
        <v>44</v>
      </c>
      <c r="F44" s="47"/>
      <c r="G44" s="47"/>
      <c r="H44" s="47"/>
      <c r="I44" s="47"/>
      <c r="J44" s="76"/>
      <c r="K44" s="93" t="s">
        <v>666</v>
      </c>
      <c r="L44" s="86" t="s">
        <v>295</v>
      </c>
      <c r="M44" s="86"/>
      <c r="N44" s="86"/>
      <c r="O44" s="86" t="s">
        <v>693</v>
      </c>
      <c r="P44" s="86" t="s">
        <v>197</v>
      </c>
      <c r="Q44" s="86" t="s">
        <v>640</v>
      </c>
      <c r="R44" s="86" t="s">
        <v>262</v>
      </c>
      <c r="S44" s="86" t="s">
        <v>147</v>
      </c>
      <c r="T44" s="87"/>
      <c r="U44" s="87"/>
      <c r="V44" s="87">
        <v>329.38953740000005</v>
      </c>
      <c r="W44" s="87"/>
      <c r="X44" s="87"/>
      <c r="Y44" s="87"/>
      <c r="Z44" s="87">
        <v>225.62375</v>
      </c>
      <c r="AA44" s="87"/>
      <c r="AB44" s="87"/>
      <c r="AC44" s="87">
        <v>555.01328740000008</v>
      </c>
      <c r="AD44" s="78"/>
      <c r="AE44" s="78"/>
      <c r="AF44" s="78"/>
      <c r="AG44" s="88"/>
      <c r="AH44" s="78">
        <v>555.01328740000008</v>
      </c>
      <c r="AI44" s="78">
        <v>555.01328740000008</v>
      </c>
      <c r="AJ44" s="95">
        <f>IF(P44="","",IFERROR(ROUND(IF(OR(P44="G0B",P44="G0T"),Tabelle5[[#This Row],[AI]]/SUM(LER_01!$L$26:$L$27),Tabelle5[[#This Row],[AI]]/(SUM(LER_01!$K$26:$K$27)+IF(LER_01!$D$10&gt;=4,SUM(LER_01!$M$26:$M$27)))),3),""))</f>
        <v>0</v>
      </c>
      <c r="AK44" s="91" t="str">
        <f>IF(P44="","",IF(OR(P44="SOV",P44="SOB",P44="G0T",P44="G0B"),"",IF(AND(OR(P44="BSS",P44="BFS"),LER_01!$D$10&lt;=2),15%,IF(AND(OR(P44="BSN",P44="BFN"),LER_01!$D$10&gt;=4),100%,25%))))</f>
        <v/>
      </c>
      <c r="AL44" s="77"/>
      <c r="AM44" s="78">
        <v>555.01328740000008</v>
      </c>
      <c r="AN44" s="78"/>
      <c r="AO44" s="79"/>
      <c r="AP44" s="94"/>
      <c r="AQ44" s="31"/>
      <c r="AR44" s="20"/>
      <c r="AS44" s="32" t="str">
        <f t="shared" si="0"/>
        <v/>
      </c>
      <c r="AT44" s="32" t="str">
        <f t="shared" si="1"/>
        <v/>
      </c>
      <c r="AU44" s="32" t="str">
        <f t="shared" si="2"/>
        <v/>
      </c>
      <c r="AV44" s="32" t="str">
        <f t="shared" si="3"/>
        <v/>
      </c>
      <c r="AW44" s="32" t="str">
        <f t="shared" si="4"/>
        <v/>
      </c>
      <c r="AX44" s="32" t="str">
        <f t="shared" si="5"/>
        <v/>
      </c>
      <c r="AY44" s="32" t="str">
        <f t="shared" si="6"/>
        <v/>
      </c>
      <c r="AZ44" s="32" t="str">
        <f t="shared" si="7"/>
        <v/>
      </c>
      <c r="BA44" s="32" t="str">
        <f t="shared" si="8"/>
        <v/>
      </c>
      <c r="BB44" s="32" t="str">
        <f t="shared" si="9"/>
        <v/>
      </c>
      <c r="BC44" s="32" t="str">
        <f>IF(ISBLANK(O44),"",IF(ISBLANK(AO44),"",IF(AO44&gt;='Delivery Note'!$H$5,IF(AO44&lt;='Delivery Note'!$H$5+92,"","ERROR"),"ERROR")))</f>
        <v/>
      </c>
      <c r="BD44" s="32" t="str">
        <f t="shared" si="10"/>
        <v/>
      </c>
      <c r="BE44" s="32" t="str">
        <f t="shared" si="11"/>
        <v/>
      </c>
    </row>
    <row r="45" spans="2:57" x14ac:dyDescent="0.2">
      <c r="B45" s="20"/>
      <c r="C45" s="53"/>
      <c r="E45" s="31">
        <v>45</v>
      </c>
      <c r="F45" s="47"/>
      <c r="G45" s="47"/>
      <c r="H45" s="47"/>
      <c r="I45" s="47"/>
      <c r="J45" s="76"/>
      <c r="K45" s="93" t="s">
        <v>667</v>
      </c>
      <c r="L45" s="86" t="s">
        <v>295</v>
      </c>
      <c r="M45" s="86"/>
      <c r="N45" s="86"/>
      <c r="O45" s="86" t="s">
        <v>694</v>
      </c>
      <c r="P45" s="86" t="s">
        <v>199</v>
      </c>
      <c r="Q45" s="86" t="s">
        <v>640</v>
      </c>
      <c r="R45" s="86" t="s">
        <v>262</v>
      </c>
      <c r="S45" s="86" t="s">
        <v>147</v>
      </c>
      <c r="T45" s="87"/>
      <c r="U45" s="87"/>
      <c r="V45" s="87">
        <v>329.38953740000005</v>
      </c>
      <c r="W45" s="87"/>
      <c r="X45" s="87"/>
      <c r="Y45" s="87"/>
      <c r="Z45" s="87">
        <v>225.62375</v>
      </c>
      <c r="AA45" s="87"/>
      <c r="AB45" s="87"/>
      <c r="AC45" s="87">
        <v>555.01328740000008</v>
      </c>
      <c r="AD45" s="78"/>
      <c r="AE45" s="78"/>
      <c r="AF45" s="78"/>
      <c r="AG45" s="88"/>
      <c r="AH45" s="78">
        <v>555.01328740000008</v>
      </c>
      <c r="AI45" s="78">
        <v>555.01328740000008</v>
      </c>
      <c r="AJ45" s="95">
        <f>IF(P45="","",IFERROR(ROUND(IF(OR(P45="G0B",P45="G0T"),Tabelle5[[#This Row],[AI]]/SUM(LER_01!$L$26:$L$27),Tabelle5[[#This Row],[AI]]/(SUM(LER_01!$K$26:$K$27)+IF(LER_01!$D$10&gt;=4,SUM(LER_01!$M$26:$M$27)))),3),""))</f>
        <v>0</v>
      </c>
      <c r="AK45" s="91" t="str">
        <f>IF(P45="","",IF(OR(P45="SOV",P45="SOB",P45="G0T",P45="G0B"),"",IF(AND(OR(P45="BSS",P45="BFS"),LER_01!$D$10&lt;=2),15%,IF(AND(OR(P45="BSN",P45="BFN"),LER_01!$D$10&gt;=4),100%,25%))))</f>
        <v/>
      </c>
      <c r="AL45" s="77"/>
      <c r="AM45" s="78">
        <v>555.01328740000008</v>
      </c>
      <c r="AN45" s="78"/>
      <c r="AO45" s="79"/>
      <c r="AP45" s="94"/>
      <c r="AQ45" s="31"/>
      <c r="AR45" s="20"/>
      <c r="AS45" s="32" t="str">
        <f t="shared" si="0"/>
        <v/>
      </c>
      <c r="AT45" s="32" t="str">
        <f t="shared" si="1"/>
        <v/>
      </c>
      <c r="AU45" s="32" t="str">
        <f t="shared" si="2"/>
        <v/>
      </c>
      <c r="AV45" s="32" t="str">
        <f t="shared" si="3"/>
        <v/>
      </c>
      <c r="AW45" s="32" t="str">
        <f t="shared" si="4"/>
        <v/>
      </c>
      <c r="AX45" s="32" t="str">
        <f t="shared" si="5"/>
        <v/>
      </c>
      <c r="AY45" s="32" t="str">
        <f t="shared" si="6"/>
        <v/>
      </c>
      <c r="AZ45" s="32" t="str">
        <f t="shared" si="7"/>
        <v/>
      </c>
      <c r="BA45" s="32" t="str">
        <f t="shared" si="8"/>
        <v/>
      </c>
      <c r="BB45" s="32" t="str">
        <f t="shared" si="9"/>
        <v/>
      </c>
      <c r="BC45" s="32" t="str">
        <f>IF(ISBLANK(O45),"",IF(ISBLANK(AO45),"",IF(AO45&gt;='Delivery Note'!$H$5,IF(AO45&lt;='Delivery Note'!$H$5+92,"","ERROR"),"ERROR")))</f>
        <v/>
      </c>
      <c r="BD45" s="32" t="str">
        <f t="shared" si="10"/>
        <v/>
      </c>
      <c r="BE45" s="32" t="str">
        <f t="shared" si="11"/>
        <v/>
      </c>
    </row>
    <row r="46" spans="2:57" x14ac:dyDescent="0.2">
      <c r="B46" s="20"/>
      <c r="C46" s="53"/>
      <c r="E46" s="31">
        <v>46</v>
      </c>
      <c r="F46" s="47"/>
      <c r="G46" s="47"/>
      <c r="H46" s="47"/>
      <c r="I46" s="47"/>
      <c r="J46" s="76"/>
      <c r="K46" s="93"/>
      <c r="L46" s="86"/>
      <c r="M46" s="86"/>
      <c r="N46" s="86"/>
      <c r="O46" s="86"/>
      <c r="P46" s="86" t="s">
        <v>201</v>
      </c>
      <c r="Q46" s="86"/>
      <c r="R46" s="86"/>
      <c r="S46" s="86"/>
      <c r="T46" s="87"/>
      <c r="U46" s="87"/>
      <c r="V46" s="87"/>
      <c r="W46" s="87"/>
      <c r="X46" s="87"/>
      <c r="Y46" s="87"/>
      <c r="Z46" s="87"/>
      <c r="AA46" s="87"/>
      <c r="AB46" s="87"/>
      <c r="AC46" s="87">
        <v>0</v>
      </c>
      <c r="AD46" s="78"/>
      <c r="AE46" s="78"/>
      <c r="AF46" s="78"/>
      <c r="AG46" s="88"/>
      <c r="AH46" s="78">
        <v>0</v>
      </c>
      <c r="AI46" s="78">
        <v>0</v>
      </c>
      <c r="AJ46" s="95">
        <f>IF(P46="","",IFERROR(ROUND(IF(OR(P46="G0B",P46="G0T"),Tabelle5[[#This Row],[AI]]/SUM(LER_01!$L$26:$L$27),Tabelle5[[#This Row],[AI]]/(SUM(LER_01!$K$26:$K$27)+IF(LER_01!$D$10&gt;=4,SUM(LER_01!$M$26:$M$27)))),3),""))</f>
        <v>0</v>
      </c>
      <c r="AK46" s="91">
        <f>IF(P46="","",IF(OR(P46="SOV",P46="SOB",P46="G0T",P46="G0B"),"",IF(AND(OR(P46="BSS",P46="BFS"),LER_01!$D$10&lt;=2),15%,IF(AND(OR(P46="BSN",P46="BFN"),LER_01!$D$10&gt;=4),100%,25%))))</f>
        <v>0.25</v>
      </c>
      <c r="AL46" s="77"/>
      <c r="AM46" s="78">
        <v>0</v>
      </c>
      <c r="AN46" s="78"/>
      <c r="AO46" s="79"/>
      <c r="AP46" s="94"/>
      <c r="AQ46" s="31"/>
      <c r="AR46" s="20"/>
      <c r="AS46" s="32" t="str">
        <f t="shared" si="0"/>
        <v/>
      </c>
      <c r="AT46" s="32" t="str">
        <f t="shared" si="1"/>
        <v/>
      </c>
      <c r="AU46" s="32" t="str">
        <f t="shared" si="2"/>
        <v/>
      </c>
      <c r="AV46" s="32" t="str">
        <f t="shared" si="3"/>
        <v/>
      </c>
      <c r="AW46" s="32" t="str">
        <f t="shared" si="4"/>
        <v/>
      </c>
      <c r="AX46" s="32" t="str">
        <f t="shared" si="5"/>
        <v/>
      </c>
      <c r="AY46" s="32" t="str">
        <f t="shared" si="6"/>
        <v/>
      </c>
      <c r="AZ46" s="32" t="str">
        <f t="shared" si="7"/>
        <v/>
      </c>
      <c r="BA46" s="32" t="str">
        <f t="shared" si="8"/>
        <v/>
      </c>
      <c r="BB46" s="32" t="str">
        <f t="shared" si="9"/>
        <v/>
      </c>
      <c r="BC46" s="32" t="str">
        <f>IF(ISBLANK(O46),"",IF(ISBLANK(AO46),"",IF(AO46&gt;='Delivery Note'!$H$5,IF(AO46&lt;='Delivery Note'!$H$5+92,"","ERROR"),"ERROR")))</f>
        <v/>
      </c>
      <c r="BD46" s="32" t="str">
        <f t="shared" si="10"/>
        <v/>
      </c>
      <c r="BE46" s="32" t="str">
        <f t="shared" si="11"/>
        <v/>
      </c>
    </row>
    <row r="47" spans="2:57" x14ac:dyDescent="0.2">
      <c r="B47" s="20"/>
      <c r="C47" s="53"/>
      <c r="E47" s="31">
        <v>47</v>
      </c>
      <c r="F47" s="47"/>
      <c r="G47" s="47"/>
      <c r="H47" s="47"/>
      <c r="I47" s="47"/>
      <c r="J47" s="76"/>
      <c r="K47" s="93"/>
      <c r="L47" s="86"/>
      <c r="M47" s="86"/>
      <c r="N47" s="86"/>
      <c r="O47" s="86"/>
      <c r="P47" s="86"/>
      <c r="Q47" s="86"/>
      <c r="R47" s="86"/>
      <c r="S47" s="86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78"/>
      <c r="AE47" s="78"/>
      <c r="AF47" s="78"/>
      <c r="AG47" s="88"/>
      <c r="AH47" s="78"/>
      <c r="AI47" s="78"/>
      <c r="AJ47" s="95" t="str">
        <f>IF(P47="","",IFERROR(ROUND(IF(OR(P47="G0B",P47="G0T"),Tabelle5[[#This Row],[AI]]/SUM(LER_01!$L$26:$L$27),Tabelle5[[#This Row],[AI]]/(SUM(LER_01!$K$26:$K$27)+IF(LER_01!$D$10&gt;=4,SUM(LER_01!$M$26:$M$27)))),3),""))</f>
        <v/>
      </c>
      <c r="AK47" s="91" t="str">
        <f>IF(P47="","",IF(OR(P47="SOV",P47="SOB",P47="G0T",P47="G0B"),"",IF(AND(OR(P47="BSS",P47="BFS"),LER_01!$D$10&lt;=2),15%,IF(AND(OR(P47="BSN",P47="BFN"),LER_01!$D$10&gt;=4),100%,25%))))</f>
        <v/>
      </c>
      <c r="AL47" s="77"/>
      <c r="AM47" s="78"/>
      <c r="AN47" s="78"/>
      <c r="AO47" s="79"/>
      <c r="AP47" s="94"/>
      <c r="AQ47" s="31"/>
      <c r="AR47" s="20"/>
      <c r="AS47" s="32" t="str">
        <f t="shared" si="0"/>
        <v/>
      </c>
      <c r="AT47" s="32" t="str">
        <f t="shared" si="1"/>
        <v/>
      </c>
      <c r="AU47" s="32" t="str">
        <f t="shared" si="2"/>
        <v/>
      </c>
      <c r="AV47" s="32" t="str">
        <f t="shared" si="3"/>
        <v/>
      </c>
      <c r="AW47" s="32" t="str">
        <f t="shared" si="4"/>
        <v/>
      </c>
      <c r="AX47" s="32" t="str">
        <f t="shared" si="5"/>
        <v/>
      </c>
      <c r="AY47" s="32" t="str">
        <f t="shared" si="6"/>
        <v/>
      </c>
      <c r="AZ47" s="32" t="str">
        <f t="shared" si="7"/>
        <v/>
      </c>
      <c r="BA47" s="32" t="str">
        <f t="shared" si="8"/>
        <v/>
      </c>
      <c r="BB47" s="32" t="str">
        <f t="shared" si="9"/>
        <v/>
      </c>
      <c r="BC47" s="32" t="str">
        <f>IF(ISBLANK(O47),"",IF(ISBLANK(AO47),"",IF(AO47&gt;='Delivery Note'!$H$5,IF(AO47&lt;='Delivery Note'!$H$5+92,"","ERROR"),"ERROR")))</f>
        <v/>
      </c>
      <c r="BD47" s="32" t="str">
        <f t="shared" si="10"/>
        <v/>
      </c>
      <c r="BE47" s="32" t="str">
        <f t="shared" si="11"/>
        <v/>
      </c>
    </row>
    <row r="48" spans="2:57" x14ac:dyDescent="0.2">
      <c r="B48" s="20"/>
      <c r="C48" s="53"/>
      <c r="E48" s="31">
        <v>48</v>
      </c>
      <c r="F48" s="47"/>
      <c r="G48" s="47"/>
      <c r="H48" s="47"/>
      <c r="I48" s="47"/>
      <c r="J48" s="76"/>
      <c r="K48" s="93"/>
      <c r="L48" s="86"/>
      <c r="M48" s="86"/>
      <c r="N48" s="86"/>
      <c r="O48" s="86"/>
      <c r="P48" s="86"/>
      <c r="Q48" s="86"/>
      <c r="R48" s="86"/>
      <c r="S48" s="86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78"/>
      <c r="AE48" s="78"/>
      <c r="AF48" s="78"/>
      <c r="AG48" s="88"/>
      <c r="AH48" s="78"/>
      <c r="AI48" s="78"/>
      <c r="AJ48" s="95" t="str">
        <f>IF(P48="","",IFERROR(ROUND(IF(OR(P48="G0B",P48="G0T"),Tabelle5[[#This Row],[AI]]/SUM(LER_01!$L$26:$L$27),Tabelle5[[#This Row],[AI]]/(SUM(LER_01!$K$26:$K$27)+IF(LER_01!$D$10&gt;=4,SUM(LER_01!$M$26:$M$27)))),3),""))</f>
        <v/>
      </c>
      <c r="AK48" s="91" t="str">
        <f>IF(P48="","",IF(OR(P48="SOV",P48="SOB",P48="G0T",P48="G0B"),"",IF(AND(OR(P48="BSS",P48="BFS"),LER_01!$D$10&lt;=2),15%,IF(AND(OR(P48="BSN",P48="BFN"),LER_01!$D$10&gt;=4),100%,25%))))</f>
        <v/>
      </c>
      <c r="AL48" s="77"/>
      <c r="AM48" s="78"/>
      <c r="AN48" s="78"/>
      <c r="AO48" s="79"/>
      <c r="AP48" s="94"/>
      <c r="AQ48" s="31"/>
      <c r="AR48" s="20"/>
      <c r="AS48" s="32" t="str">
        <f t="shared" si="0"/>
        <v/>
      </c>
      <c r="AT48" s="32" t="str">
        <f t="shared" si="1"/>
        <v/>
      </c>
      <c r="AU48" s="32" t="str">
        <f t="shared" si="2"/>
        <v/>
      </c>
      <c r="AV48" s="32" t="str">
        <f t="shared" si="3"/>
        <v/>
      </c>
      <c r="AW48" s="32" t="str">
        <f t="shared" si="4"/>
        <v/>
      </c>
      <c r="AX48" s="32" t="str">
        <f t="shared" si="5"/>
        <v/>
      </c>
      <c r="AY48" s="32" t="str">
        <f t="shared" si="6"/>
        <v/>
      </c>
      <c r="AZ48" s="32" t="str">
        <f t="shared" si="7"/>
        <v/>
      </c>
      <c r="BA48" s="32" t="str">
        <f t="shared" si="8"/>
        <v/>
      </c>
      <c r="BB48" s="32" t="str">
        <f t="shared" si="9"/>
        <v/>
      </c>
      <c r="BC48" s="32" t="str">
        <f>IF(ISBLANK(O48),"",IF(ISBLANK(AO48),"",IF(AO48&gt;='Delivery Note'!$H$5,IF(AO48&lt;='Delivery Note'!$H$5+92,"","ERROR"),"ERROR")))</f>
        <v/>
      </c>
      <c r="BD48" s="32" t="str">
        <f t="shared" si="10"/>
        <v/>
      </c>
      <c r="BE48" s="32" t="str">
        <f t="shared" si="11"/>
        <v/>
      </c>
    </row>
    <row r="49" spans="2:57" x14ac:dyDescent="0.2">
      <c r="B49" s="20"/>
      <c r="C49" s="53"/>
      <c r="E49" s="31">
        <v>49</v>
      </c>
      <c r="F49" s="47"/>
      <c r="G49" s="47"/>
      <c r="H49" s="47"/>
      <c r="I49" s="47"/>
      <c r="J49" s="76"/>
      <c r="K49" s="93"/>
      <c r="L49" s="86"/>
      <c r="M49" s="86"/>
      <c r="N49" s="86"/>
      <c r="O49" s="86"/>
      <c r="P49" s="86"/>
      <c r="Q49" s="86"/>
      <c r="R49" s="86"/>
      <c r="S49" s="86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78"/>
      <c r="AE49" s="78"/>
      <c r="AF49" s="78"/>
      <c r="AG49" s="88"/>
      <c r="AH49" s="78"/>
      <c r="AI49" s="78"/>
      <c r="AJ49" s="95" t="str">
        <f>IF(P49="","",IFERROR(ROUND(IF(OR(P49="G0B",P49="G0T"),Tabelle5[[#This Row],[AI]]/SUM(LER_01!$L$26:$L$27),Tabelle5[[#This Row],[AI]]/(SUM(LER_01!$K$26:$K$27)+IF(LER_01!$D$10&gt;=4,SUM(LER_01!$M$26:$M$27)))),3),""))</f>
        <v/>
      </c>
      <c r="AK49" s="91" t="str">
        <f>IF(P49="","",IF(OR(P49="SOV",P49="SOB",P49="G0T",P49="G0B"),"",IF(AND(OR(P49="BSS",P49="BFS"),LER_01!$D$10&lt;=2),15%,IF(AND(OR(P49="BSN",P49="BFN"),LER_01!$D$10&gt;=4),100%,25%))))</f>
        <v/>
      </c>
      <c r="AL49" s="77"/>
      <c r="AM49" s="78"/>
      <c r="AN49" s="78"/>
      <c r="AO49" s="79"/>
      <c r="AP49" s="94"/>
      <c r="AQ49" s="31"/>
      <c r="AR49" s="20"/>
      <c r="AS49" s="32" t="str">
        <f t="shared" si="0"/>
        <v/>
      </c>
      <c r="AT49" s="32" t="str">
        <f t="shared" si="1"/>
        <v/>
      </c>
      <c r="AU49" s="32" t="str">
        <f t="shared" si="2"/>
        <v/>
      </c>
      <c r="AV49" s="32" t="str">
        <f t="shared" si="3"/>
        <v/>
      </c>
      <c r="AW49" s="32" t="str">
        <f t="shared" si="4"/>
        <v/>
      </c>
      <c r="AX49" s="32" t="str">
        <f t="shared" si="5"/>
        <v/>
      </c>
      <c r="AY49" s="32" t="str">
        <f t="shared" si="6"/>
        <v/>
      </c>
      <c r="AZ49" s="32" t="str">
        <f t="shared" si="7"/>
        <v/>
      </c>
      <c r="BA49" s="32" t="str">
        <f t="shared" si="8"/>
        <v/>
      </c>
      <c r="BB49" s="32" t="str">
        <f t="shared" si="9"/>
        <v/>
      </c>
      <c r="BC49" s="32" t="str">
        <f>IF(ISBLANK(O49),"",IF(ISBLANK(AO49),"",IF(AO49&gt;='Delivery Note'!$H$5,IF(AO49&lt;='Delivery Note'!$H$5+92,"","ERROR"),"ERROR")))</f>
        <v/>
      </c>
      <c r="BD49" s="32" t="str">
        <f t="shared" si="10"/>
        <v/>
      </c>
      <c r="BE49" s="32" t="str">
        <f t="shared" si="11"/>
        <v/>
      </c>
    </row>
    <row r="50" spans="2:57" x14ac:dyDescent="0.2">
      <c r="B50" s="20"/>
      <c r="C50" s="53"/>
      <c r="E50" s="31">
        <v>50</v>
      </c>
      <c r="F50" s="47"/>
      <c r="G50" s="47"/>
      <c r="H50" s="47"/>
      <c r="I50" s="47"/>
      <c r="J50" s="76"/>
      <c r="K50" s="93"/>
      <c r="L50" s="86"/>
      <c r="M50" s="86"/>
      <c r="N50" s="86"/>
      <c r="O50" s="86"/>
      <c r="P50" s="86"/>
      <c r="Q50" s="86"/>
      <c r="R50" s="86"/>
      <c r="S50" s="86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78"/>
      <c r="AE50" s="78"/>
      <c r="AF50" s="78"/>
      <c r="AG50" s="88"/>
      <c r="AH50" s="78"/>
      <c r="AI50" s="78"/>
      <c r="AJ50" s="95" t="str">
        <f>IF(P50="","",IFERROR(ROUND(IF(OR(P50="G0B",P50="G0T"),Tabelle5[[#This Row],[AI]]/SUM(LER_01!$L$26:$L$27),Tabelle5[[#This Row],[AI]]/(SUM(LER_01!$K$26:$K$27)+IF(LER_01!$D$10&gt;=4,SUM(LER_01!$M$26:$M$27)))),3),""))</f>
        <v/>
      </c>
      <c r="AK50" s="91" t="str">
        <f>IF(P50="","",IF(OR(P50="SOV",P50="SOB",P50="G0T",P50="G0B"),"",IF(AND(OR(P50="BSS",P50="BFS"),LER_01!$D$10&lt;=2),15%,IF(AND(OR(P50="BSN",P50="BFN"),LER_01!$D$10&gt;=4),100%,25%))))</f>
        <v/>
      </c>
      <c r="AL50" s="77"/>
      <c r="AM50" s="78"/>
      <c r="AN50" s="78"/>
      <c r="AO50" s="79"/>
      <c r="AP50" s="94"/>
      <c r="AQ50" s="31"/>
      <c r="AR50" s="20"/>
      <c r="AS50" s="32" t="str">
        <f t="shared" si="0"/>
        <v/>
      </c>
      <c r="AT50" s="32" t="str">
        <f t="shared" si="1"/>
        <v/>
      </c>
      <c r="AU50" s="32" t="str">
        <f t="shared" si="2"/>
        <v/>
      </c>
      <c r="AV50" s="32" t="str">
        <f t="shared" si="3"/>
        <v/>
      </c>
      <c r="AW50" s="32" t="str">
        <f t="shared" si="4"/>
        <v/>
      </c>
      <c r="AX50" s="32" t="str">
        <f t="shared" si="5"/>
        <v/>
      </c>
      <c r="AY50" s="32" t="str">
        <f t="shared" si="6"/>
        <v/>
      </c>
      <c r="AZ50" s="32" t="str">
        <f t="shared" si="7"/>
        <v/>
      </c>
      <c r="BA50" s="32" t="str">
        <f t="shared" si="8"/>
        <v/>
      </c>
      <c r="BB50" s="32" t="str">
        <f t="shared" si="9"/>
        <v/>
      </c>
      <c r="BC50" s="32" t="str">
        <f>IF(ISBLANK(O50),"",IF(ISBLANK(AO50),"",IF(AO50&gt;='Delivery Note'!$H$5,IF(AO50&lt;='Delivery Note'!$H$5+92,"","ERROR"),"ERROR")))</f>
        <v/>
      </c>
      <c r="BD50" s="32" t="str">
        <f t="shared" si="10"/>
        <v/>
      </c>
      <c r="BE50" s="32" t="str">
        <f t="shared" si="11"/>
        <v/>
      </c>
    </row>
    <row r="51" spans="2:57" x14ac:dyDescent="0.2">
      <c r="B51" s="20"/>
      <c r="C51" s="53"/>
      <c r="E51" s="31">
        <v>51</v>
      </c>
      <c r="F51" s="47"/>
      <c r="G51" s="47"/>
      <c r="H51" s="47"/>
      <c r="I51" s="47"/>
      <c r="J51" s="76"/>
      <c r="K51" s="93"/>
      <c r="L51" s="86"/>
      <c r="M51" s="86"/>
      <c r="N51" s="86"/>
      <c r="O51" s="86"/>
      <c r="P51" s="86"/>
      <c r="Q51" s="86"/>
      <c r="R51" s="86"/>
      <c r="S51" s="86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78"/>
      <c r="AE51" s="78"/>
      <c r="AF51" s="78"/>
      <c r="AG51" s="88"/>
      <c r="AH51" s="78"/>
      <c r="AI51" s="78"/>
      <c r="AJ51" s="95" t="str">
        <f>IF(P51="","",IFERROR(ROUND(IF(OR(P51="G0B",P51="G0T"),Tabelle5[[#This Row],[AI]]/SUM(LER_01!$L$26:$L$27),Tabelle5[[#This Row],[AI]]/(SUM(LER_01!$K$26:$K$27)+IF(LER_01!$D$10&gt;=4,SUM(LER_01!$M$26:$M$27)))),3),""))</f>
        <v/>
      </c>
      <c r="AK51" s="91" t="str">
        <f>IF(P51="","",IF(OR(P51="SOV",P51="SOB",P51="G0T",P51="G0B"),"",IF(AND(OR(P51="BSS",P51="BFS"),LER_01!$D$10&lt;=2),15%,IF(AND(OR(P51="BSN",P51="BFN"),LER_01!$D$10&gt;=4),100%,25%))))</f>
        <v/>
      </c>
      <c r="AL51" s="77"/>
      <c r="AM51" s="78"/>
      <c r="AN51" s="78"/>
      <c r="AO51" s="79"/>
      <c r="AP51" s="94"/>
      <c r="AQ51" s="31"/>
      <c r="AR51" s="20"/>
      <c r="AS51" s="32" t="str">
        <f t="shared" si="0"/>
        <v/>
      </c>
      <c r="AT51" s="32" t="str">
        <f t="shared" si="1"/>
        <v/>
      </c>
      <c r="AU51" s="32" t="str">
        <f t="shared" si="2"/>
        <v/>
      </c>
      <c r="AV51" s="32" t="str">
        <f t="shared" si="3"/>
        <v/>
      </c>
      <c r="AW51" s="32" t="str">
        <f t="shared" si="4"/>
        <v/>
      </c>
      <c r="AX51" s="32" t="str">
        <f t="shared" si="5"/>
        <v/>
      </c>
      <c r="AY51" s="32" t="str">
        <f t="shared" si="6"/>
        <v/>
      </c>
      <c r="AZ51" s="32" t="str">
        <f t="shared" si="7"/>
        <v/>
      </c>
      <c r="BA51" s="32" t="str">
        <f t="shared" si="8"/>
        <v/>
      </c>
      <c r="BB51" s="32" t="str">
        <f t="shared" si="9"/>
        <v/>
      </c>
      <c r="BC51" s="32" t="str">
        <f>IF(ISBLANK(O51),"",IF(ISBLANK(AO51),"",IF(AO51&gt;='Delivery Note'!$H$5,IF(AO51&lt;='Delivery Note'!$H$5+92,"","ERROR"),"ERROR")))</f>
        <v/>
      </c>
      <c r="BD51" s="32" t="str">
        <f t="shared" si="10"/>
        <v/>
      </c>
      <c r="BE51" s="32" t="str">
        <f t="shared" si="11"/>
        <v/>
      </c>
    </row>
    <row r="52" spans="2:57" x14ac:dyDescent="0.2">
      <c r="B52" s="20"/>
      <c r="C52" s="53"/>
      <c r="E52" s="31">
        <v>52</v>
      </c>
      <c r="F52" s="47"/>
      <c r="G52" s="47"/>
      <c r="H52" s="47"/>
      <c r="I52" s="47"/>
      <c r="J52" s="76"/>
      <c r="K52" s="93"/>
      <c r="L52" s="86"/>
      <c r="M52" s="86"/>
      <c r="N52" s="86"/>
      <c r="O52" s="86"/>
      <c r="P52" s="86"/>
      <c r="Q52" s="86"/>
      <c r="R52" s="86"/>
      <c r="S52" s="86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78"/>
      <c r="AE52" s="78"/>
      <c r="AF52" s="78"/>
      <c r="AG52" s="88"/>
      <c r="AH52" s="78"/>
      <c r="AI52" s="78"/>
      <c r="AJ52" s="95" t="str">
        <f>IF(P52="","",IFERROR(ROUND(IF(OR(P52="G0B",P52="G0T"),Tabelle5[[#This Row],[AI]]/SUM(LER_01!$L$26:$L$27),Tabelle5[[#This Row],[AI]]/(SUM(LER_01!$K$26:$K$27)+IF(LER_01!$D$10&gt;=4,SUM(LER_01!$M$26:$M$27)))),3),""))</f>
        <v/>
      </c>
      <c r="AK52" s="91" t="str">
        <f>IF(P52="","",IF(OR(P52="SOV",P52="SOB",P52="G0T",P52="G0B"),"",IF(AND(OR(P52="BSS",P52="BFS"),LER_01!$D$10&lt;=2),15%,IF(AND(OR(P52="BSN",P52="BFN"),LER_01!$D$10&gt;=4),100%,25%))))</f>
        <v/>
      </c>
      <c r="AL52" s="77"/>
      <c r="AM52" s="78"/>
      <c r="AN52" s="78"/>
      <c r="AO52" s="79"/>
      <c r="AP52" s="94"/>
      <c r="AQ52" s="31"/>
      <c r="AR52" s="20"/>
      <c r="AS52" s="32" t="str">
        <f t="shared" si="0"/>
        <v/>
      </c>
      <c r="AT52" s="32" t="str">
        <f t="shared" si="1"/>
        <v/>
      </c>
      <c r="AU52" s="32" t="str">
        <f t="shared" si="2"/>
        <v/>
      </c>
      <c r="AV52" s="32" t="str">
        <f t="shared" si="3"/>
        <v/>
      </c>
      <c r="AW52" s="32" t="str">
        <f t="shared" si="4"/>
        <v/>
      </c>
      <c r="AX52" s="32" t="str">
        <f t="shared" si="5"/>
        <v/>
      </c>
      <c r="AY52" s="32" t="str">
        <f t="shared" si="6"/>
        <v/>
      </c>
      <c r="AZ52" s="32" t="str">
        <f t="shared" si="7"/>
        <v/>
      </c>
      <c r="BA52" s="32" t="str">
        <f t="shared" si="8"/>
        <v/>
      </c>
      <c r="BB52" s="32" t="str">
        <f t="shared" si="9"/>
        <v/>
      </c>
      <c r="BC52" s="32" t="str">
        <f>IF(ISBLANK(O52),"",IF(ISBLANK(AO52),"",IF(AO52&gt;='Delivery Note'!$H$5,IF(AO52&lt;='Delivery Note'!$H$5+92,"","ERROR"),"ERROR")))</f>
        <v/>
      </c>
      <c r="BD52" s="32" t="str">
        <f t="shared" si="10"/>
        <v/>
      </c>
      <c r="BE52" s="32" t="str">
        <f t="shared" si="11"/>
        <v/>
      </c>
    </row>
    <row r="53" spans="2:57" x14ac:dyDescent="0.2">
      <c r="B53" s="20"/>
      <c r="C53" s="53"/>
      <c r="E53" s="31">
        <v>53</v>
      </c>
      <c r="F53" s="47"/>
      <c r="G53" s="47"/>
      <c r="H53" s="47"/>
      <c r="I53" s="47"/>
      <c r="J53" s="76"/>
      <c r="K53" s="93"/>
      <c r="L53" s="86"/>
      <c r="M53" s="86"/>
      <c r="N53" s="86"/>
      <c r="O53" s="86"/>
      <c r="P53" s="86"/>
      <c r="Q53" s="86"/>
      <c r="R53" s="86"/>
      <c r="S53" s="86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78"/>
      <c r="AE53" s="78"/>
      <c r="AF53" s="78"/>
      <c r="AG53" s="88"/>
      <c r="AH53" s="78"/>
      <c r="AI53" s="78"/>
      <c r="AJ53" s="95" t="str">
        <f>IF(P53="","",IFERROR(ROUND(IF(OR(P53="G0B",P53="G0T"),Tabelle5[[#This Row],[AI]]/SUM(LER_01!$L$26:$L$27),Tabelle5[[#This Row],[AI]]/(SUM(LER_01!$K$26:$K$27)+IF(LER_01!$D$10&gt;=4,SUM(LER_01!$M$26:$M$27)))),3),""))</f>
        <v/>
      </c>
      <c r="AK53" s="91" t="str">
        <f>IF(P53="","",IF(OR(P53="SOV",P53="SOB",P53="G0T",P53="G0B"),"",IF(AND(OR(P53="BSS",P53="BFS"),LER_01!$D$10&lt;=2),15%,IF(AND(OR(P53="BSN",P53="BFN"),LER_01!$D$10&gt;=4),100%,25%))))</f>
        <v/>
      </c>
      <c r="AL53" s="77"/>
      <c r="AM53" s="78"/>
      <c r="AN53" s="78"/>
      <c r="AO53" s="79"/>
      <c r="AP53" s="94"/>
      <c r="AQ53" s="31"/>
      <c r="AR53" s="20"/>
      <c r="AS53" s="32" t="str">
        <f t="shared" si="0"/>
        <v/>
      </c>
      <c r="AT53" s="32" t="str">
        <f t="shared" si="1"/>
        <v/>
      </c>
      <c r="AU53" s="32" t="str">
        <f t="shared" si="2"/>
        <v/>
      </c>
      <c r="AV53" s="32" t="str">
        <f t="shared" si="3"/>
        <v/>
      </c>
      <c r="AW53" s="32" t="str">
        <f t="shared" si="4"/>
        <v/>
      </c>
      <c r="AX53" s="32" t="str">
        <f t="shared" si="5"/>
        <v/>
      </c>
      <c r="AY53" s="32" t="str">
        <f t="shared" si="6"/>
        <v/>
      </c>
      <c r="AZ53" s="32" t="str">
        <f t="shared" si="7"/>
        <v/>
      </c>
      <c r="BA53" s="32" t="str">
        <f t="shared" si="8"/>
        <v/>
      </c>
      <c r="BB53" s="32" t="str">
        <f t="shared" si="9"/>
        <v/>
      </c>
      <c r="BC53" s="32" t="str">
        <f>IF(ISBLANK(O53),"",IF(ISBLANK(AO53),"",IF(AO53&gt;='Delivery Note'!$H$5,IF(AO53&lt;='Delivery Note'!$H$5+92,"","ERROR"),"ERROR")))</f>
        <v/>
      </c>
      <c r="BD53" s="32" t="str">
        <f t="shared" si="10"/>
        <v/>
      </c>
      <c r="BE53" s="32" t="str">
        <f t="shared" si="11"/>
        <v/>
      </c>
    </row>
    <row r="54" spans="2:57" x14ac:dyDescent="0.2">
      <c r="B54" s="20"/>
      <c r="C54" s="53"/>
      <c r="E54" s="31">
        <v>54</v>
      </c>
      <c r="F54" s="47"/>
      <c r="G54" s="47"/>
      <c r="H54" s="47"/>
      <c r="I54" s="47"/>
      <c r="J54" s="76"/>
      <c r="K54" s="93"/>
      <c r="L54" s="86"/>
      <c r="M54" s="86"/>
      <c r="N54" s="86"/>
      <c r="O54" s="86"/>
      <c r="P54" s="86"/>
      <c r="Q54" s="86"/>
      <c r="R54" s="86"/>
      <c r="S54" s="86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78"/>
      <c r="AE54" s="78"/>
      <c r="AF54" s="78"/>
      <c r="AG54" s="88"/>
      <c r="AH54" s="78"/>
      <c r="AI54" s="78"/>
      <c r="AJ54" s="95" t="str">
        <f>IF(P54="","",IFERROR(ROUND(IF(OR(P54="G0B",P54="G0T"),Tabelle5[[#This Row],[AI]]/SUM(LER_01!$L$26:$L$27),Tabelle5[[#This Row],[AI]]/(SUM(LER_01!$K$26:$K$27)+IF(LER_01!$D$10&gt;=4,SUM(LER_01!$M$26:$M$27)))),3),""))</f>
        <v/>
      </c>
      <c r="AK54" s="91" t="str">
        <f>IF(P54="","",IF(OR(P54="SOV",P54="SOB",P54="G0T",P54="G0B"),"",IF(AND(OR(P54="BSS",P54="BFS"),LER_01!$D$10&lt;=2),15%,IF(AND(OR(P54="BSN",P54="BFN"),LER_01!$D$10&gt;=4),100%,25%))))</f>
        <v/>
      </c>
      <c r="AL54" s="77"/>
      <c r="AM54" s="78"/>
      <c r="AN54" s="78"/>
      <c r="AO54" s="79"/>
      <c r="AP54" s="94"/>
      <c r="AQ54" s="31"/>
      <c r="AR54" s="20"/>
      <c r="AS54" s="32" t="str">
        <f t="shared" si="0"/>
        <v/>
      </c>
      <c r="AT54" s="32" t="str">
        <f t="shared" si="1"/>
        <v/>
      </c>
      <c r="AU54" s="32" t="str">
        <f t="shared" si="2"/>
        <v/>
      </c>
      <c r="AV54" s="32" t="str">
        <f t="shared" si="3"/>
        <v/>
      </c>
      <c r="AW54" s="32" t="str">
        <f t="shared" si="4"/>
        <v/>
      </c>
      <c r="AX54" s="32" t="str">
        <f t="shared" si="5"/>
        <v/>
      </c>
      <c r="AY54" s="32" t="str">
        <f t="shared" si="6"/>
        <v/>
      </c>
      <c r="AZ54" s="32" t="str">
        <f t="shared" si="7"/>
        <v/>
      </c>
      <c r="BA54" s="32" t="str">
        <f t="shared" si="8"/>
        <v/>
      </c>
      <c r="BB54" s="32" t="str">
        <f t="shared" si="9"/>
        <v/>
      </c>
      <c r="BC54" s="32" t="str">
        <f>IF(ISBLANK(O54),"",IF(ISBLANK(AO54),"",IF(AO54&gt;='Delivery Note'!$H$5,IF(AO54&lt;='Delivery Note'!$H$5+92,"","ERROR"),"ERROR")))</f>
        <v/>
      </c>
      <c r="BD54" s="32" t="str">
        <f t="shared" si="10"/>
        <v/>
      </c>
      <c r="BE54" s="32" t="str">
        <f t="shared" si="11"/>
        <v/>
      </c>
    </row>
    <row r="55" spans="2:57" x14ac:dyDescent="0.2">
      <c r="B55" s="20"/>
      <c r="C55" s="53"/>
      <c r="E55" s="31">
        <v>55</v>
      </c>
      <c r="F55" s="47"/>
      <c r="G55" s="47"/>
      <c r="H55" s="47"/>
      <c r="I55" s="47"/>
      <c r="J55" s="76"/>
      <c r="K55" s="93"/>
      <c r="L55" s="86"/>
      <c r="M55" s="86"/>
      <c r="N55" s="86"/>
      <c r="O55" s="86"/>
      <c r="P55" s="86"/>
      <c r="Q55" s="86"/>
      <c r="R55" s="86"/>
      <c r="S55" s="86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78"/>
      <c r="AE55" s="78"/>
      <c r="AF55" s="78"/>
      <c r="AG55" s="88"/>
      <c r="AH55" s="78"/>
      <c r="AI55" s="78"/>
      <c r="AJ55" s="95" t="str">
        <f>IF(P55="","",IFERROR(ROUND(IF(OR(P55="G0B",P55="G0T"),Tabelle5[[#This Row],[AI]]/SUM(LER_01!$L$26:$L$27),Tabelle5[[#This Row],[AI]]/(SUM(LER_01!$K$26:$K$27)+IF(LER_01!$D$10&gt;=4,SUM(LER_01!$M$26:$M$27)))),3),""))</f>
        <v/>
      </c>
      <c r="AK55" s="91" t="str">
        <f>IF(P55="","",IF(OR(P55="SOV",P55="SOB",P55="G0T",P55="G0B"),"",IF(AND(OR(P55="BSS",P55="BFS"),LER_01!$D$10&lt;=2),15%,IF(AND(OR(P55="BSN",P55="BFN"),LER_01!$D$10&gt;=4),100%,25%))))</f>
        <v/>
      </c>
      <c r="AL55" s="77"/>
      <c r="AM55" s="78"/>
      <c r="AN55" s="78"/>
      <c r="AO55" s="79"/>
      <c r="AP55" s="94"/>
      <c r="AQ55" s="31"/>
      <c r="AR55" s="20"/>
      <c r="AS55" s="32" t="str">
        <f t="shared" si="0"/>
        <v/>
      </c>
      <c r="AT55" s="32" t="str">
        <f t="shared" si="1"/>
        <v/>
      </c>
      <c r="AU55" s="32" t="str">
        <f t="shared" si="2"/>
        <v/>
      </c>
      <c r="AV55" s="32" t="str">
        <f t="shared" si="3"/>
        <v/>
      </c>
      <c r="AW55" s="32" t="str">
        <f t="shared" si="4"/>
        <v/>
      </c>
      <c r="AX55" s="32" t="str">
        <f t="shared" si="5"/>
        <v/>
      </c>
      <c r="AY55" s="32" t="str">
        <f t="shared" si="6"/>
        <v/>
      </c>
      <c r="AZ55" s="32" t="str">
        <f t="shared" si="7"/>
        <v/>
      </c>
      <c r="BA55" s="32" t="str">
        <f t="shared" si="8"/>
        <v/>
      </c>
      <c r="BB55" s="32" t="str">
        <f t="shared" si="9"/>
        <v/>
      </c>
      <c r="BC55" s="32" t="str">
        <f>IF(ISBLANK(O55),"",IF(ISBLANK(AO55),"",IF(AO55&gt;='Delivery Note'!$H$5,IF(AO55&lt;='Delivery Note'!$H$5+92,"","ERROR"),"ERROR")))</f>
        <v/>
      </c>
      <c r="BD55" s="32" t="str">
        <f t="shared" si="10"/>
        <v/>
      </c>
      <c r="BE55" s="32" t="str">
        <f t="shared" si="11"/>
        <v/>
      </c>
    </row>
    <row r="56" spans="2:57" x14ac:dyDescent="0.2">
      <c r="B56" s="20"/>
      <c r="C56" s="53"/>
      <c r="E56" s="31">
        <v>56</v>
      </c>
      <c r="F56" s="47"/>
      <c r="G56" s="47"/>
      <c r="H56" s="47"/>
      <c r="I56" s="47"/>
      <c r="J56" s="76"/>
      <c r="K56" s="93"/>
      <c r="L56" s="86"/>
      <c r="M56" s="86"/>
      <c r="N56" s="86"/>
      <c r="O56" s="86"/>
      <c r="P56" s="86"/>
      <c r="Q56" s="86"/>
      <c r="R56" s="86"/>
      <c r="S56" s="86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78"/>
      <c r="AE56" s="78"/>
      <c r="AF56" s="78"/>
      <c r="AG56" s="88"/>
      <c r="AH56" s="78"/>
      <c r="AI56" s="78"/>
      <c r="AJ56" s="95" t="str">
        <f>IF(P56="","",IFERROR(ROUND(IF(OR(P56="G0B",P56="G0T"),Tabelle5[[#This Row],[AI]]/SUM(LER_01!$L$26:$L$27),Tabelle5[[#This Row],[AI]]/(SUM(LER_01!$K$26:$K$27)+IF(LER_01!$D$10&gt;=4,SUM(LER_01!$M$26:$M$27)))),3),""))</f>
        <v/>
      </c>
      <c r="AK56" s="91" t="str">
        <f>IF(P56="","",IF(OR(P56="SOV",P56="SOB",P56="G0T",P56="G0B"),"",IF(AND(OR(P56="BSS",P56="BFS"),LER_01!$D$10&lt;=2),15%,IF(AND(OR(P56="BSN",P56="BFN"),LER_01!$D$10&gt;=4),100%,25%))))</f>
        <v/>
      </c>
      <c r="AL56" s="77"/>
      <c r="AM56" s="78"/>
      <c r="AN56" s="78"/>
      <c r="AO56" s="79"/>
      <c r="AP56" s="94"/>
      <c r="AQ56" s="31"/>
      <c r="AR56" s="20"/>
      <c r="AS56" s="32" t="str">
        <f t="shared" si="0"/>
        <v/>
      </c>
      <c r="AT56" s="32" t="str">
        <f t="shared" si="1"/>
        <v/>
      </c>
      <c r="AU56" s="32" t="str">
        <f t="shared" si="2"/>
        <v/>
      </c>
      <c r="AV56" s="32" t="str">
        <f t="shared" si="3"/>
        <v/>
      </c>
      <c r="AW56" s="32" t="str">
        <f t="shared" si="4"/>
        <v/>
      </c>
      <c r="AX56" s="32" t="str">
        <f t="shared" si="5"/>
        <v/>
      </c>
      <c r="AY56" s="32" t="str">
        <f t="shared" si="6"/>
        <v/>
      </c>
      <c r="AZ56" s="32" t="str">
        <f t="shared" si="7"/>
        <v/>
      </c>
      <c r="BA56" s="32" t="str">
        <f t="shared" si="8"/>
        <v/>
      </c>
      <c r="BB56" s="32" t="str">
        <f t="shared" si="9"/>
        <v/>
      </c>
      <c r="BC56" s="32" t="str">
        <f>IF(ISBLANK(O56),"",IF(ISBLANK(AO56),"",IF(AO56&gt;='Delivery Note'!$H$5,IF(AO56&lt;='Delivery Note'!$H$5+92,"","ERROR"),"ERROR")))</f>
        <v/>
      </c>
      <c r="BD56" s="32" t="str">
        <f t="shared" si="10"/>
        <v/>
      </c>
      <c r="BE56" s="32" t="str">
        <f t="shared" si="11"/>
        <v/>
      </c>
    </row>
    <row r="57" spans="2:57" x14ac:dyDescent="0.2">
      <c r="B57" s="20"/>
      <c r="C57" s="53"/>
      <c r="E57" s="31">
        <v>57</v>
      </c>
      <c r="F57" s="47"/>
      <c r="G57" s="47"/>
      <c r="H57" s="47"/>
      <c r="I57" s="47"/>
      <c r="J57" s="76"/>
      <c r="K57" s="93"/>
      <c r="L57" s="86"/>
      <c r="M57" s="86"/>
      <c r="N57" s="86"/>
      <c r="O57" s="86"/>
      <c r="P57" s="86"/>
      <c r="Q57" s="86"/>
      <c r="R57" s="86"/>
      <c r="S57" s="86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78"/>
      <c r="AE57" s="78"/>
      <c r="AF57" s="78"/>
      <c r="AG57" s="88"/>
      <c r="AH57" s="78"/>
      <c r="AI57" s="78"/>
      <c r="AJ57" s="95" t="str">
        <f>IF(P57="","",IFERROR(ROUND(IF(OR(P57="G0B",P57="G0T"),Tabelle5[[#This Row],[AI]]/SUM(LER_01!$L$26:$L$27),Tabelle5[[#This Row],[AI]]/(SUM(LER_01!$K$26:$K$27)+IF(LER_01!$D$10&gt;=4,SUM(LER_01!$M$26:$M$27)))),3),""))</f>
        <v/>
      </c>
      <c r="AK57" s="91" t="str">
        <f>IF(P57="","",IF(OR(P57="SOV",P57="SOB",P57="G0T",P57="G0B"),"",IF(AND(OR(P57="BSS",P57="BFS"),LER_01!$D$10&lt;=2),15%,IF(AND(OR(P57="BSN",P57="BFN"),LER_01!$D$10&gt;=4),100%,25%))))</f>
        <v/>
      </c>
      <c r="AL57" s="77"/>
      <c r="AM57" s="78"/>
      <c r="AN57" s="78"/>
      <c r="AO57" s="79"/>
      <c r="AP57" s="94"/>
      <c r="AQ57" s="31"/>
      <c r="AR57" s="20"/>
      <c r="AS57" s="32" t="str">
        <f t="shared" si="0"/>
        <v/>
      </c>
      <c r="AT57" s="32" t="str">
        <f t="shared" si="1"/>
        <v/>
      </c>
      <c r="AU57" s="32" t="str">
        <f t="shared" si="2"/>
        <v/>
      </c>
      <c r="AV57" s="32" t="str">
        <f t="shared" si="3"/>
        <v/>
      </c>
      <c r="AW57" s="32" t="str">
        <f t="shared" si="4"/>
        <v/>
      </c>
      <c r="AX57" s="32" t="str">
        <f t="shared" si="5"/>
        <v/>
      </c>
      <c r="AY57" s="32" t="str">
        <f t="shared" si="6"/>
        <v/>
      </c>
      <c r="AZ57" s="32" t="str">
        <f t="shared" si="7"/>
        <v/>
      </c>
      <c r="BA57" s="32" t="str">
        <f t="shared" si="8"/>
        <v/>
      </c>
      <c r="BB57" s="32" t="str">
        <f t="shared" si="9"/>
        <v/>
      </c>
      <c r="BC57" s="32" t="str">
        <f>IF(ISBLANK(O57),"",IF(ISBLANK(AO57),"",IF(AO57&gt;='Delivery Note'!$H$5,IF(AO57&lt;='Delivery Note'!$H$5+92,"","ERROR"),"ERROR")))</f>
        <v/>
      </c>
      <c r="BD57" s="32" t="str">
        <f t="shared" si="10"/>
        <v/>
      </c>
      <c r="BE57" s="32" t="str">
        <f t="shared" si="11"/>
        <v/>
      </c>
    </row>
    <row r="58" spans="2:57" x14ac:dyDescent="0.2">
      <c r="B58" s="20"/>
      <c r="C58" s="53"/>
      <c r="E58" s="31">
        <v>58</v>
      </c>
      <c r="F58" s="47"/>
      <c r="G58" s="47"/>
      <c r="H58" s="47"/>
      <c r="I58" s="47"/>
      <c r="J58" s="76"/>
      <c r="K58" s="93"/>
      <c r="L58" s="86"/>
      <c r="M58" s="86"/>
      <c r="N58" s="86"/>
      <c r="O58" s="86"/>
      <c r="P58" s="86"/>
      <c r="Q58" s="86"/>
      <c r="R58" s="86"/>
      <c r="S58" s="86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78"/>
      <c r="AE58" s="78"/>
      <c r="AF58" s="78"/>
      <c r="AG58" s="88"/>
      <c r="AH58" s="78"/>
      <c r="AI58" s="78"/>
      <c r="AJ58" s="95" t="str">
        <f>IF(P58="","",IFERROR(ROUND(IF(OR(P58="G0B",P58="G0T"),Tabelle5[[#This Row],[AI]]/SUM(LER_01!$L$26:$L$27),Tabelle5[[#This Row],[AI]]/(SUM(LER_01!$K$26:$K$27)+IF(LER_01!$D$10&gt;=4,SUM(LER_01!$M$26:$M$27)))),3),""))</f>
        <v/>
      </c>
      <c r="AK58" s="91" t="str">
        <f>IF(P58="","",IF(OR(P58="SOV",P58="SOB",P58="G0T",P58="G0B"),"",IF(AND(OR(P58="BSS",P58="BFS"),LER_01!$D$10&lt;=2),15%,IF(AND(OR(P58="BSN",P58="BFN"),LER_01!$D$10&gt;=4),100%,25%))))</f>
        <v/>
      </c>
      <c r="AL58" s="77"/>
      <c r="AM58" s="78"/>
      <c r="AN58" s="78"/>
      <c r="AO58" s="79"/>
      <c r="AP58" s="94"/>
      <c r="AQ58" s="31"/>
      <c r="AR58" s="20"/>
      <c r="AS58" s="32" t="str">
        <f t="shared" si="0"/>
        <v/>
      </c>
      <c r="AT58" s="32" t="str">
        <f t="shared" si="1"/>
        <v/>
      </c>
      <c r="AU58" s="32" t="str">
        <f t="shared" si="2"/>
        <v/>
      </c>
      <c r="AV58" s="32" t="str">
        <f t="shared" si="3"/>
        <v/>
      </c>
      <c r="AW58" s="32" t="str">
        <f t="shared" si="4"/>
        <v/>
      </c>
      <c r="AX58" s="32" t="str">
        <f t="shared" si="5"/>
        <v/>
      </c>
      <c r="AY58" s="32" t="str">
        <f t="shared" si="6"/>
        <v/>
      </c>
      <c r="AZ58" s="32" t="str">
        <f t="shared" si="7"/>
        <v/>
      </c>
      <c r="BA58" s="32" t="str">
        <f t="shared" si="8"/>
        <v/>
      </c>
      <c r="BB58" s="32" t="str">
        <f t="shared" si="9"/>
        <v/>
      </c>
      <c r="BC58" s="32" t="str">
        <f>IF(ISBLANK(O58),"",IF(ISBLANK(AO58),"",IF(AO58&gt;='Delivery Note'!$H$5,IF(AO58&lt;='Delivery Note'!$H$5+92,"","ERROR"),"ERROR")))</f>
        <v/>
      </c>
      <c r="BD58" s="32" t="str">
        <f t="shared" si="10"/>
        <v/>
      </c>
      <c r="BE58" s="32" t="str">
        <f t="shared" si="11"/>
        <v/>
      </c>
    </row>
    <row r="59" spans="2:57" x14ac:dyDescent="0.2">
      <c r="B59" s="20"/>
      <c r="C59" s="53"/>
      <c r="E59" s="31">
        <v>59</v>
      </c>
      <c r="F59" s="47"/>
      <c r="G59" s="47"/>
      <c r="H59" s="47"/>
      <c r="I59" s="47"/>
      <c r="J59" s="76"/>
      <c r="K59" s="93"/>
      <c r="L59" s="86"/>
      <c r="M59" s="86"/>
      <c r="N59" s="86"/>
      <c r="O59" s="86"/>
      <c r="P59" s="86"/>
      <c r="Q59" s="86"/>
      <c r="R59" s="86"/>
      <c r="S59" s="86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78"/>
      <c r="AE59" s="78"/>
      <c r="AF59" s="78"/>
      <c r="AG59" s="88"/>
      <c r="AH59" s="78"/>
      <c r="AI59" s="78"/>
      <c r="AJ59" s="95" t="str">
        <f>IF(P59="","",IFERROR(ROUND(IF(OR(P59="G0B",P59="G0T"),Tabelle5[[#This Row],[AI]]/SUM(LER_01!$L$26:$L$27),Tabelle5[[#This Row],[AI]]/(SUM(LER_01!$K$26:$K$27)+IF(LER_01!$D$10&gt;=4,SUM(LER_01!$M$26:$M$27)))),3),""))</f>
        <v/>
      </c>
      <c r="AK59" s="91" t="str">
        <f>IF(P59="","",IF(OR(P59="SOV",P59="SOB",P59="G0T",P59="G0B"),"",IF(AND(OR(P59="BSS",P59="BFS"),LER_01!$D$10&lt;=2),15%,IF(AND(OR(P59="BSN",P59="BFN"),LER_01!$D$10&gt;=4),100%,25%))))</f>
        <v/>
      </c>
      <c r="AL59" s="77"/>
      <c r="AM59" s="78"/>
      <c r="AN59" s="78"/>
      <c r="AO59" s="79"/>
      <c r="AP59" s="94"/>
      <c r="AQ59" s="31"/>
      <c r="AR59" s="20"/>
      <c r="AS59" s="32" t="str">
        <f t="shared" si="0"/>
        <v/>
      </c>
      <c r="AT59" s="32" t="str">
        <f t="shared" si="1"/>
        <v/>
      </c>
      <c r="AU59" s="32" t="str">
        <f t="shared" si="2"/>
        <v/>
      </c>
      <c r="AV59" s="32" t="str">
        <f t="shared" si="3"/>
        <v/>
      </c>
      <c r="AW59" s="32" t="str">
        <f t="shared" si="4"/>
        <v/>
      </c>
      <c r="AX59" s="32" t="str">
        <f t="shared" si="5"/>
        <v/>
      </c>
      <c r="AY59" s="32" t="str">
        <f t="shared" si="6"/>
        <v/>
      </c>
      <c r="AZ59" s="32" t="str">
        <f t="shared" si="7"/>
        <v/>
      </c>
      <c r="BA59" s="32" t="str">
        <f t="shared" si="8"/>
        <v/>
      </c>
      <c r="BB59" s="32" t="str">
        <f t="shared" si="9"/>
        <v/>
      </c>
      <c r="BC59" s="32" t="str">
        <f>IF(ISBLANK(O59),"",IF(ISBLANK(AO59),"",IF(AO59&gt;='Delivery Note'!$H$5,IF(AO59&lt;='Delivery Note'!$H$5+92,"","ERROR"),"ERROR")))</f>
        <v/>
      </c>
      <c r="BD59" s="32" t="str">
        <f t="shared" si="10"/>
        <v/>
      </c>
      <c r="BE59" s="32" t="str">
        <f t="shared" si="11"/>
        <v/>
      </c>
    </row>
    <row r="60" spans="2:57" x14ac:dyDescent="0.2">
      <c r="B60" s="20"/>
      <c r="C60" s="53"/>
      <c r="E60" s="31">
        <v>60</v>
      </c>
      <c r="F60" s="47"/>
      <c r="G60" s="47"/>
      <c r="H60" s="47"/>
      <c r="I60" s="47"/>
      <c r="J60" s="76"/>
      <c r="K60" s="93"/>
      <c r="L60" s="86"/>
      <c r="M60" s="86"/>
      <c r="N60" s="86"/>
      <c r="O60" s="86"/>
      <c r="P60" s="86"/>
      <c r="Q60" s="86"/>
      <c r="R60" s="86"/>
      <c r="S60" s="86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78"/>
      <c r="AE60" s="78"/>
      <c r="AF60" s="78"/>
      <c r="AG60" s="88"/>
      <c r="AH60" s="78"/>
      <c r="AI60" s="78"/>
      <c r="AJ60" s="95" t="str">
        <f>IF(P60="","",IFERROR(ROUND(IF(OR(P60="G0B",P60="G0T"),Tabelle5[[#This Row],[AI]]/SUM(LER_01!$L$26:$L$27),Tabelle5[[#This Row],[AI]]/(SUM(LER_01!$K$26:$K$27)+IF(LER_01!$D$10&gt;=4,SUM(LER_01!$M$26:$M$27)))),3),""))</f>
        <v/>
      </c>
      <c r="AK60" s="91" t="str">
        <f>IF(P60="","",IF(OR(P60="SOV",P60="SOB",P60="G0T",P60="G0B"),"",IF(AND(OR(P60="BSS",P60="BFS"),LER_01!$D$10&lt;=2),15%,IF(AND(OR(P60="BSN",P60="BFN"),LER_01!$D$10&gt;=4),100%,25%))))</f>
        <v/>
      </c>
      <c r="AL60" s="77"/>
      <c r="AM60" s="78"/>
      <c r="AN60" s="78"/>
      <c r="AO60" s="79"/>
      <c r="AP60" s="94"/>
      <c r="AQ60" s="31"/>
      <c r="AR60" s="20"/>
      <c r="AS60" s="32" t="str">
        <f t="shared" si="0"/>
        <v/>
      </c>
      <c r="AT60" s="32" t="str">
        <f t="shared" si="1"/>
        <v/>
      </c>
      <c r="AU60" s="32" t="str">
        <f t="shared" si="2"/>
        <v/>
      </c>
      <c r="AV60" s="32" t="str">
        <f t="shared" si="3"/>
        <v/>
      </c>
      <c r="AW60" s="32" t="str">
        <f t="shared" si="4"/>
        <v/>
      </c>
      <c r="AX60" s="32" t="str">
        <f t="shared" si="5"/>
        <v/>
      </c>
      <c r="AY60" s="32" t="str">
        <f t="shared" si="6"/>
        <v/>
      </c>
      <c r="AZ60" s="32" t="str">
        <f t="shared" si="7"/>
        <v/>
      </c>
      <c r="BA60" s="32" t="str">
        <f t="shared" si="8"/>
        <v/>
      </c>
      <c r="BB60" s="32" t="str">
        <f t="shared" si="9"/>
        <v/>
      </c>
      <c r="BC60" s="32" t="str">
        <f>IF(ISBLANK(O60),"",IF(ISBLANK(AO60),"",IF(AO60&gt;='Delivery Note'!$H$5,IF(AO60&lt;='Delivery Note'!$H$5+92,"","ERROR"),"ERROR")))</f>
        <v/>
      </c>
      <c r="BD60" s="32" t="str">
        <f t="shared" si="10"/>
        <v/>
      </c>
      <c r="BE60" s="32" t="str">
        <f t="shared" si="11"/>
        <v/>
      </c>
    </row>
    <row r="61" spans="2:57" x14ac:dyDescent="0.2">
      <c r="B61" s="20"/>
      <c r="C61" s="53"/>
      <c r="E61" s="31">
        <v>61</v>
      </c>
      <c r="F61" s="47"/>
      <c r="G61" s="47"/>
      <c r="H61" s="47"/>
      <c r="I61" s="47"/>
      <c r="J61" s="76"/>
      <c r="K61" s="93"/>
      <c r="L61" s="86"/>
      <c r="M61" s="86"/>
      <c r="N61" s="86"/>
      <c r="O61" s="86"/>
      <c r="P61" s="86"/>
      <c r="Q61" s="86"/>
      <c r="R61" s="86"/>
      <c r="S61" s="86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78"/>
      <c r="AE61" s="78"/>
      <c r="AF61" s="78"/>
      <c r="AG61" s="88"/>
      <c r="AH61" s="78"/>
      <c r="AI61" s="78"/>
      <c r="AJ61" s="95" t="str">
        <f>IF(P61="","",IFERROR(ROUND(IF(OR(P61="G0B",P61="G0T"),Tabelle5[[#This Row],[AI]]/SUM(LER_01!$L$26:$L$27),Tabelle5[[#This Row],[AI]]/(SUM(LER_01!$K$26:$K$27)+IF(LER_01!$D$10&gt;=4,SUM(LER_01!$M$26:$M$27)))),3),""))</f>
        <v/>
      </c>
      <c r="AK61" s="91" t="str">
        <f>IF(P61="","",IF(OR(P61="SOV",P61="SOB",P61="G0T",P61="G0B"),"",IF(AND(OR(P61="BSS",P61="BFS"),LER_01!$D$10&lt;=2),15%,IF(AND(OR(P61="BSN",P61="BFN"),LER_01!$D$10&gt;=4),100%,25%))))</f>
        <v/>
      </c>
      <c r="AL61" s="77"/>
      <c r="AM61" s="78"/>
      <c r="AN61" s="78"/>
      <c r="AO61" s="79"/>
      <c r="AP61" s="94"/>
      <c r="AQ61" s="31"/>
      <c r="AR61" s="20"/>
      <c r="AS61" s="32" t="str">
        <f t="shared" si="0"/>
        <v/>
      </c>
      <c r="AT61" s="32" t="str">
        <f t="shared" si="1"/>
        <v/>
      </c>
      <c r="AU61" s="32" t="str">
        <f t="shared" si="2"/>
        <v/>
      </c>
      <c r="AV61" s="32" t="str">
        <f t="shared" si="3"/>
        <v/>
      </c>
      <c r="AW61" s="32" t="str">
        <f t="shared" si="4"/>
        <v/>
      </c>
      <c r="AX61" s="32" t="str">
        <f t="shared" si="5"/>
        <v/>
      </c>
      <c r="AY61" s="32" t="str">
        <f t="shared" si="6"/>
        <v/>
      </c>
      <c r="AZ61" s="32" t="str">
        <f t="shared" si="7"/>
        <v/>
      </c>
      <c r="BA61" s="32" t="str">
        <f t="shared" si="8"/>
        <v/>
      </c>
      <c r="BB61" s="32" t="str">
        <f t="shared" si="9"/>
        <v/>
      </c>
      <c r="BC61" s="32" t="str">
        <f>IF(ISBLANK(O61),"",IF(ISBLANK(AO61),"",IF(AO61&gt;='Delivery Note'!$H$5,IF(AO61&lt;='Delivery Note'!$H$5+92,"","ERROR"),"ERROR")))</f>
        <v/>
      </c>
      <c r="BD61" s="32" t="str">
        <f t="shared" si="10"/>
        <v/>
      </c>
      <c r="BE61" s="32" t="str">
        <f t="shared" si="11"/>
        <v/>
      </c>
    </row>
    <row r="62" spans="2:57" x14ac:dyDescent="0.2">
      <c r="B62" s="20"/>
      <c r="C62" s="53"/>
      <c r="E62" s="31">
        <v>62</v>
      </c>
      <c r="F62" s="47"/>
      <c r="G62" s="47"/>
      <c r="H62" s="47"/>
      <c r="I62" s="47"/>
      <c r="J62" s="76"/>
      <c r="K62" s="93"/>
      <c r="L62" s="86"/>
      <c r="M62" s="86"/>
      <c r="N62" s="86"/>
      <c r="O62" s="86"/>
      <c r="P62" s="86"/>
      <c r="Q62" s="86"/>
      <c r="R62" s="86"/>
      <c r="S62" s="86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78"/>
      <c r="AE62" s="78"/>
      <c r="AF62" s="78"/>
      <c r="AG62" s="88"/>
      <c r="AH62" s="78"/>
      <c r="AI62" s="78"/>
      <c r="AJ62" s="95" t="str">
        <f>IF(P62="","",IFERROR(ROUND(IF(OR(P62="G0B",P62="G0T"),Tabelle5[[#This Row],[AI]]/SUM(LER_01!$L$26:$L$27),Tabelle5[[#This Row],[AI]]/(SUM(LER_01!$K$26:$K$27)+IF(LER_01!$D$10&gt;=4,SUM(LER_01!$M$26:$M$27)))),3),""))</f>
        <v/>
      </c>
      <c r="AK62" s="91" t="str">
        <f>IF(P62="","",IF(OR(P62="SOV",P62="SOB",P62="G0T",P62="G0B"),"",IF(AND(OR(P62="BSS",P62="BFS"),LER_01!$D$10&lt;=2),15%,IF(AND(OR(P62="BSN",P62="BFN"),LER_01!$D$10&gt;=4),100%,25%))))</f>
        <v/>
      </c>
      <c r="AL62" s="77"/>
      <c r="AM62" s="78"/>
      <c r="AN62" s="78"/>
      <c r="AO62" s="79"/>
      <c r="AP62" s="94"/>
      <c r="AQ62" s="31"/>
      <c r="AR62" s="20"/>
      <c r="AS62" s="32" t="str">
        <f t="shared" si="0"/>
        <v/>
      </c>
      <c r="AT62" s="32" t="str">
        <f t="shared" si="1"/>
        <v/>
      </c>
      <c r="AU62" s="32" t="str">
        <f t="shared" si="2"/>
        <v/>
      </c>
      <c r="AV62" s="32" t="str">
        <f t="shared" si="3"/>
        <v/>
      </c>
      <c r="AW62" s="32" t="str">
        <f t="shared" si="4"/>
        <v/>
      </c>
      <c r="AX62" s="32" t="str">
        <f t="shared" si="5"/>
        <v/>
      </c>
      <c r="AY62" s="32" t="str">
        <f t="shared" si="6"/>
        <v/>
      </c>
      <c r="AZ62" s="32" t="str">
        <f t="shared" si="7"/>
        <v/>
      </c>
      <c r="BA62" s="32" t="str">
        <f t="shared" si="8"/>
        <v/>
      </c>
      <c r="BB62" s="32" t="str">
        <f t="shared" si="9"/>
        <v/>
      </c>
      <c r="BC62" s="32" t="str">
        <f>IF(ISBLANK(O62),"",IF(ISBLANK(AO62),"",IF(AO62&gt;='Delivery Note'!$H$5,IF(AO62&lt;='Delivery Note'!$H$5+92,"","ERROR"),"ERROR")))</f>
        <v/>
      </c>
      <c r="BD62" s="32" t="str">
        <f t="shared" si="10"/>
        <v/>
      </c>
      <c r="BE62" s="32" t="str">
        <f t="shared" si="11"/>
        <v/>
      </c>
    </row>
    <row r="63" spans="2:57" x14ac:dyDescent="0.2">
      <c r="B63" s="20"/>
      <c r="C63" s="53"/>
      <c r="E63" s="31">
        <v>63</v>
      </c>
      <c r="F63" s="47"/>
      <c r="G63" s="47"/>
      <c r="H63" s="47"/>
      <c r="I63" s="47"/>
      <c r="J63" s="76"/>
      <c r="K63" s="93"/>
      <c r="L63" s="86"/>
      <c r="M63" s="86"/>
      <c r="N63" s="86"/>
      <c r="O63" s="86"/>
      <c r="P63" s="86"/>
      <c r="Q63" s="86"/>
      <c r="R63" s="86"/>
      <c r="S63" s="86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78"/>
      <c r="AE63" s="78"/>
      <c r="AF63" s="78"/>
      <c r="AG63" s="88"/>
      <c r="AH63" s="78"/>
      <c r="AI63" s="78"/>
      <c r="AJ63" s="95" t="str">
        <f>IF(P63="","",IFERROR(ROUND(IF(OR(P63="G0B",P63="G0T"),Tabelle5[[#This Row],[AI]]/SUM(LER_01!$L$26:$L$27),Tabelle5[[#This Row],[AI]]/(SUM(LER_01!$K$26:$K$27)+IF(LER_01!$D$10&gt;=4,SUM(LER_01!$M$26:$M$27)))),3),""))</f>
        <v/>
      </c>
      <c r="AK63" s="91" t="str">
        <f>IF(P63="","",IF(OR(P63="SOV",P63="SOB",P63="G0T",P63="G0B"),"",IF(AND(OR(P63="BSS",P63="BFS"),LER_01!$D$10&lt;=2),15%,IF(AND(OR(P63="BSN",P63="BFN"),LER_01!$D$10&gt;=4),100%,25%))))</f>
        <v/>
      </c>
      <c r="AL63" s="77"/>
      <c r="AM63" s="78"/>
      <c r="AN63" s="78"/>
      <c r="AO63" s="79"/>
      <c r="AP63" s="94"/>
      <c r="AQ63" s="31"/>
      <c r="AR63" s="20"/>
      <c r="AS63" s="32" t="str">
        <f t="shared" si="0"/>
        <v/>
      </c>
      <c r="AT63" s="32" t="str">
        <f t="shared" si="1"/>
        <v/>
      </c>
      <c r="AU63" s="32" t="str">
        <f t="shared" si="2"/>
        <v/>
      </c>
      <c r="AV63" s="32" t="str">
        <f t="shared" si="3"/>
        <v/>
      </c>
      <c r="AW63" s="32" t="str">
        <f t="shared" si="4"/>
        <v/>
      </c>
      <c r="AX63" s="32" t="str">
        <f t="shared" si="5"/>
        <v/>
      </c>
      <c r="AY63" s="32" t="str">
        <f t="shared" si="6"/>
        <v/>
      </c>
      <c r="AZ63" s="32" t="str">
        <f t="shared" si="7"/>
        <v/>
      </c>
      <c r="BA63" s="32" t="str">
        <f t="shared" si="8"/>
        <v/>
      </c>
      <c r="BB63" s="32" t="str">
        <f t="shared" si="9"/>
        <v/>
      </c>
      <c r="BC63" s="32" t="str">
        <f>IF(ISBLANK(O63),"",IF(ISBLANK(AO63),"",IF(AO63&gt;='Delivery Note'!$H$5,IF(AO63&lt;='Delivery Note'!$H$5+92,"","ERROR"),"ERROR")))</f>
        <v/>
      </c>
      <c r="BD63" s="32" t="str">
        <f t="shared" si="10"/>
        <v/>
      </c>
      <c r="BE63" s="32" t="str">
        <f t="shared" si="11"/>
        <v/>
      </c>
    </row>
    <row r="64" spans="2:57" x14ac:dyDescent="0.2">
      <c r="B64" s="20"/>
      <c r="C64" s="53"/>
      <c r="E64" s="31">
        <v>64</v>
      </c>
      <c r="F64" s="47"/>
      <c r="G64" s="47"/>
      <c r="H64" s="47"/>
      <c r="I64" s="47"/>
      <c r="J64" s="76"/>
      <c r="K64" s="93"/>
      <c r="L64" s="86"/>
      <c r="M64" s="86"/>
      <c r="N64" s="86"/>
      <c r="O64" s="86"/>
      <c r="P64" s="86"/>
      <c r="Q64" s="86"/>
      <c r="R64" s="86"/>
      <c r="S64" s="86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78"/>
      <c r="AE64" s="78"/>
      <c r="AF64" s="78"/>
      <c r="AG64" s="88"/>
      <c r="AH64" s="78"/>
      <c r="AI64" s="78"/>
      <c r="AJ64" s="95" t="str">
        <f>IF(P64="","",IFERROR(ROUND(IF(OR(P64="G0B",P64="G0T"),Tabelle5[[#This Row],[AI]]/SUM(LER_01!$L$26:$L$27),Tabelle5[[#This Row],[AI]]/(SUM(LER_01!$K$26:$K$27)+IF(LER_01!$D$10&gt;=4,SUM(LER_01!$M$26:$M$27)))),3),""))</f>
        <v/>
      </c>
      <c r="AK64" s="91" t="str">
        <f>IF(P64="","",IF(OR(P64="SOV",P64="SOB",P64="G0T",P64="G0B"),"",IF(AND(OR(P64="BSS",P64="BFS"),LER_01!$D$10&lt;=2),15%,IF(AND(OR(P64="BSN",P64="BFN"),LER_01!$D$10&gt;=4),100%,25%))))</f>
        <v/>
      </c>
      <c r="AL64" s="77"/>
      <c r="AM64" s="78"/>
      <c r="AN64" s="78"/>
      <c r="AO64" s="79"/>
      <c r="AP64" s="94"/>
      <c r="AQ64" s="31"/>
      <c r="AR64" s="20"/>
      <c r="AS64" s="32" t="str">
        <f t="shared" si="0"/>
        <v/>
      </c>
      <c r="AT64" s="32" t="str">
        <f t="shared" si="1"/>
        <v/>
      </c>
      <c r="AU64" s="32" t="str">
        <f t="shared" si="2"/>
        <v/>
      </c>
      <c r="AV64" s="32" t="str">
        <f t="shared" si="3"/>
        <v/>
      </c>
      <c r="AW64" s="32" t="str">
        <f t="shared" si="4"/>
        <v/>
      </c>
      <c r="AX64" s="32" t="str">
        <f t="shared" si="5"/>
        <v/>
      </c>
      <c r="AY64" s="32" t="str">
        <f t="shared" si="6"/>
        <v/>
      </c>
      <c r="AZ64" s="32" t="str">
        <f t="shared" si="7"/>
        <v/>
      </c>
      <c r="BA64" s="32" t="str">
        <f t="shared" si="8"/>
        <v/>
      </c>
      <c r="BB64" s="32" t="str">
        <f t="shared" si="9"/>
        <v/>
      </c>
      <c r="BC64" s="32" t="str">
        <f>IF(ISBLANK(O64),"",IF(ISBLANK(AO64),"",IF(AO64&gt;='Delivery Note'!$H$5,IF(AO64&lt;='Delivery Note'!$H$5+92,"","ERROR"),"ERROR")))</f>
        <v/>
      </c>
      <c r="BD64" s="32" t="str">
        <f t="shared" si="10"/>
        <v/>
      </c>
      <c r="BE64" s="32" t="str">
        <f t="shared" si="11"/>
        <v/>
      </c>
    </row>
    <row r="65" spans="2:57" x14ac:dyDescent="0.2">
      <c r="B65" s="20"/>
      <c r="C65" s="53"/>
      <c r="E65" s="31">
        <v>65</v>
      </c>
      <c r="F65" s="47"/>
      <c r="G65" s="47"/>
      <c r="H65" s="47"/>
      <c r="I65" s="47"/>
      <c r="J65" s="76"/>
      <c r="K65" s="93"/>
      <c r="L65" s="86"/>
      <c r="M65" s="86"/>
      <c r="N65" s="86"/>
      <c r="O65" s="86"/>
      <c r="P65" s="86"/>
      <c r="Q65" s="86"/>
      <c r="R65" s="86"/>
      <c r="S65" s="86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78"/>
      <c r="AE65" s="78"/>
      <c r="AF65" s="78"/>
      <c r="AG65" s="88"/>
      <c r="AH65" s="78"/>
      <c r="AI65" s="78"/>
      <c r="AJ65" s="95" t="str">
        <f>IF(P65="","",IFERROR(ROUND(IF(OR(P65="G0B",P65="G0T"),Tabelle5[[#This Row],[AI]]/SUM(LER_01!$L$26:$L$27),Tabelle5[[#This Row],[AI]]/(SUM(LER_01!$K$26:$K$27)+IF(LER_01!$D$10&gt;=4,SUM(LER_01!$M$26:$M$27)))),3),""))</f>
        <v/>
      </c>
      <c r="AK65" s="91" t="str">
        <f>IF(P65="","",IF(OR(P65="SOV",P65="SOB",P65="G0T",P65="G0B"),"",IF(AND(OR(P65="BSS",P65="BFS"),LER_01!$D$10&lt;=2),15%,IF(AND(OR(P65="BSN",P65="BFN"),LER_01!$D$10&gt;=4),100%,25%))))</f>
        <v/>
      </c>
      <c r="AL65" s="77"/>
      <c r="AM65" s="78"/>
      <c r="AN65" s="78"/>
      <c r="AO65" s="79"/>
      <c r="AP65" s="94"/>
      <c r="AQ65" s="31"/>
      <c r="AR65" s="20"/>
      <c r="AS65" s="32" t="str">
        <f t="shared" si="0"/>
        <v/>
      </c>
      <c r="AT65" s="32" t="str">
        <f t="shared" si="1"/>
        <v/>
      </c>
      <c r="AU65" s="32" t="str">
        <f t="shared" si="2"/>
        <v/>
      </c>
      <c r="AV65" s="32" t="str">
        <f t="shared" si="3"/>
        <v/>
      </c>
      <c r="AW65" s="32" t="str">
        <f t="shared" si="4"/>
        <v/>
      </c>
      <c r="AX65" s="32" t="str">
        <f t="shared" si="5"/>
        <v/>
      </c>
      <c r="AY65" s="32" t="str">
        <f t="shared" si="6"/>
        <v/>
      </c>
      <c r="AZ65" s="32" t="str">
        <f t="shared" si="7"/>
        <v/>
      </c>
      <c r="BA65" s="32" t="str">
        <f t="shared" si="8"/>
        <v/>
      </c>
      <c r="BB65" s="32" t="str">
        <f t="shared" si="9"/>
        <v/>
      </c>
      <c r="BC65" s="32" t="str">
        <f>IF(ISBLANK(O65),"",IF(ISBLANK(AO65),"",IF(AO65&gt;='Delivery Note'!$H$5,IF(AO65&lt;='Delivery Note'!$H$5+92,"","ERROR"),"ERROR")))</f>
        <v/>
      </c>
      <c r="BD65" s="32" t="str">
        <f t="shared" si="10"/>
        <v/>
      </c>
      <c r="BE65" s="32" t="str">
        <f t="shared" si="11"/>
        <v/>
      </c>
    </row>
    <row r="66" spans="2:57" x14ac:dyDescent="0.2">
      <c r="B66" s="20"/>
      <c r="C66" s="53"/>
      <c r="E66" s="31">
        <v>66</v>
      </c>
      <c r="F66" s="47"/>
      <c r="G66" s="47"/>
      <c r="H66" s="47"/>
      <c r="I66" s="47"/>
      <c r="J66" s="76"/>
      <c r="K66" s="93"/>
      <c r="L66" s="86"/>
      <c r="M66" s="86"/>
      <c r="N66" s="86"/>
      <c r="O66" s="86"/>
      <c r="P66" s="86"/>
      <c r="Q66" s="86"/>
      <c r="R66" s="86"/>
      <c r="S66" s="86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78"/>
      <c r="AE66" s="78"/>
      <c r="AF66" s="78"/>
      <c r="AG66" s="88"/>
      <c r="AH66" s="78"/>
      <c r="AI66" s="78"/>
      <c r="AJ66" s="95" t="str">
        <f>IF(P66="","",IFERROR(ROUND(IF(OR(P66="G0B",P66="G0T"),Tabelle5[[#This Row],[AI]]/SUM(LER_01!$L$26:$L$27),Tabelle5[[#This Row],[AI]]/(SUM(LER_01!$K$26:$K$27)+IF(LER_01!$D$10&gt;=4,SUM(LER_01!$M$26:$M$27)))),3),""))</f>
        <v/>
      </c>
      <c r="AK66" s="91" t="str">
        <f>IF(P66="","",IF(OR(P66="SOV",P66="SOB",P66="G0T",P66="G0B"),"",IF(AND(OR(P66="BSS",P66="BFS"),LER_01!$D$10&lt;=2),15%,IF(AND(OR(P66="BSN",P66="BFN"),LER_01!$D$10&gt;=4),100%,25%))))</f>
        <v/>
      </c>
      <c r="AL66" s="77"/>
      <c r="AM66" s="78"/>
      <c r="AN66" s="78"/>
      <c r="AO66" s="79"/>
      <c r="AP66" s="94"/>
      <c r="AQ66" s="31"/>
      <c r="AR66" s="20"/>
      <c r="AS66" s="32" t="str">
        <f t="shared" si="0"/>
        <v/>
      </c>
      <c r="AT66" s="32" t="str">
        <f t="shared" si="1"/>
        <v/>
      </c>
      <c r="AU66" s="32" t="str">
        <f t="shared" si="2"/>
        <v/>
      </c>
      <c r="AV66" s="32" t="str">
        <f t="shared" si="3"/>
        <v/>
      </c>
      <c r="AW66" s="32" t="str">
        <f t="shared" si="4"/>
        <v/>
      </c>
      <c r="AX66" s="32" t="str">
        <f t="shared" si="5"/>
        <v/>
      </c>
      <c r="AY66" s="32" t="str">
        <f t="shared" si="6"/>
        <v/>
      </c>
      <c r="AZ66" s="32" t="str">
        <f t="shared" si="7"/>
        <v/>
      </c>
      <c r="BA66" s="32" t="str">
        <f t="shared" si="8"/>
        <v/>
      </c>
      <c r="BB66" s="32" t="str">
        <f t="shared" si="9"/>
        <v/>
      </c>
      <c r="BC66" s="32" t="str">
        <f>IF(ISBLANK(O66),"",IF(ISBLANK(AO66),"",IF(AO66&gt;='Delivery Note'!$H$5,IF(AO66&lt;='Delivery Note'!$H$5+92,"","ERROR"),"ERROR")))</f>
        <v/>
      </c>
      <c r="BD66" s="32" t="str">
        <f t="shared" si="10"/>
        <v/>
      </c>
      <c r="BE66" s="32" t="str">
        <f t="shared" si="11"/>
        <v/>
      </c>
    </row>
    <row r="67" spans="2:57" x14ac:dyDescent="0.2">
      <c r="B67" s="20"/>
      <c r="C67" s="53"/>
      <c r="E67" s="31">
        <v>67</v>
      </c>
      <c r="F67" s="47"/>
      <c r="G67" s="47"/>
      <c r="H67" s="47"/>
      <c r="I67" s="47"/>
      <c r="J67" s="76"/>
      <c r="K67" s="93"/>
      <c r="L67" s="86"/>
      <c r="M67" s="86"/>
      <c r="N67" s="86"/>
      <c r="O67" s="86"/>
      <c r="P67" s="86"/>
      <c r="Q67" s="86"/>
      <c r="R67" s="86"/>
      <c r="S67" s="86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78"/>
      <c r="AE67" s="78"/>
      <c r="AF67" s="78"/>
      <c r="AG67" s="88"/>
      <c r="AH67" s="78"/>
      <c r="AI67" s="78"/>
      <c r="AJ67" s="95" t="str">
        <f>IF(P67="","",IFERROR(ROUND(IF(OR(P67="G0B",P67="G0T"),Tabelle5[[#This Row],[AI]]/SUM(LER_01!$L$26:$L$27),Tabelle5[[#This Row],[AI]]/(SUM(LER_01!$K$26:$K$27)+IF(LER_01!$D$10&gt;=4,SUM(LER_01!$M$26:$M$27)))),3),""))</f>
        <v/>
      </c>
      <c r="AK67" s="91" t="str">
        <f>IF(P67="","",IF(OR(P67="SOV",P67="SOB",P67="G0T",P67="G0B"),"",IF(AND(OR(P67="BSS",P67="BFS"),LER_01!$D$10&lt;=2),15%,IF(AND(OR(P67="BSN",P67="BFN"),LER_01!$D$10&gt;=4),100%,25%))))</f>
        <v/>
      </c>
      <c r="AL67" s="77"/>
      <c r="AM67" s="78"/>
      <c r="AN67" s="78"/>
      <c r="AO67" s="79"/>
      <c r="AP67" s="94"/>
      <c r="AQ67" s="31"/>
      <c r="AR67" s="20"/>
      <c r="AS67" s="32" t="str">
        <f t="shared" si="0"/>
        <v/>
      </c>
      <c r="AT67" s="32" t="str">
        <f t="shared" si="1"/>
        <v/>
      </c>
      <c r="AU67" s="32" t="str">
        <f t="shared" si="2"/>
        <v/>
      </c>
      <c r="AV67" s="32" t="str">
        <f t="shared" si="3"/>
        <v/>
      </c>
      <c r="AW67" s="32" t="str">
        <f t="shared" si="4"/>
        <v/>
      </c>
      <c r="AX67" s="32" t="str">
        <f t="shared" si="5"/>
        <v/>
      </c>
      <c r="AY67" s="32" t="str">
        <f t="shared" si="6"/>
        <v/>
      </c>
      <c r="AZ67" s="32" t="str">
        <f t="shared" si="7"/>
        <v/>
      </c>
      <c r="BA67" s="32" t="str">
        <f t="shared" si="8"/>
        <v/>
      </c>
      <c r="BB67" s="32" t="str">
        <f t="shared" si="9"/>
        <v/>
      </c>
      <c r="BC67" s="32" t="str">
        <f>IF(ISBLANK(O67),"",IF(ISBLANK(AO67),"",IF(AO67&gt;='Delivery Note'!$H$5,IF(AO67&lt;='Delivery Note'!$H$5+92,"","ERROR"),"ERROR")))</f>
        <v/>
      </c>
      <c r="BD67" s="32" t="str">
        <f t="shared" si="10"/>
        <v/>
      </c>
      <c r="BE67" s="32" t="str">
        <f t="shared" si="11"/>
        <v/>
      </c>
    </row>
    <row r="68" spans="2:57" x14ac:dyDescent="0.2">
      <c r="B68" s="20"/>
      <c r="C68" s="53"/>
      <c r="E68" s="31">
        <v>68</v>
      </c>
      <c r="F68" s="47"/>
      <c r="G68" s="47"/>
      <c r="H68" s="47"/>
      <c r="I68" s="47"/>
      <c r="J68" s="76"/>
      <c r="K68" s="93"/>
      <c r="L68" s="86"/>
      <c r="M68" s="86"/>
      <c r="N68" s="86"/>
      <c r="O68" s="86"/>
      <c r="P68" s="86"/>
      <c r="Q68" s="86"/>
      <c r="R68" s="86"/>
      <c r="S68" s="86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78"/>
      <c r="AE68" s="78"/>
      <c r="AF68" s="78"/>
      <c r="AG68" s="88"/>
      <c r="AH68" s="78"/>
      <c r="AI68" s="78"/>
      <c r="AJ68" s="95" t="str">
        <f>IF(P68="","",IFERROR(ROUND(IF(OR(P68="G0B",P68="G0T"),Tabelle5[[#This Row],[AI]]/SUM(LER_01!$L$26:$L$27),Tabelle5[[#This Row],[AI]]/(SUM(LER_01!$K$26:$K$27)+IF(LER_01!$D$10&gt;=4,SUM(LER_01!$M$26:$M$27)))),3),""))</f>
        <v/>
      </c>
      <c r="AK68" s="91" t="str">
        <f>IF(P68="","",IF(OR(P68="SOV",P68="SOB",P68="G0T",P68="G0B"),"",IF(AND(OR(P68="BSS",P68="BFS"),LER_01!$D$10&lt;=2),15%,IF(AND(OR(P68="BSN",P68="BFN"),LER_01!$D$10&gt;=4),100%,25%))))</f>
        <v/>
      </c>
      <c r="AL68" s="77"/>
      <c r="AM68" s="78"/>
      <c r="AN68" s="78"/>
      <c r="AO68" s="79"/>
      <c r="AP68" s="94"/>
      <c r="AQ68" s="31"/>
      <c r="AR68" s="20"/>
      <c r="AS68" s="32" t="str">
        <f t="shared" si="0"/>
        <v/>
      </c>
      <c r="AT68" s="32" t="str">
        <f t="shared" si="1"/>
        <v/>
      </c>
      <c r="AU68" s="32" t="str">
        <f t="shared" si="2"/>
        <v/>
      </c>
      <c r="AV68" s="32" t="str">
        <f t="shared" si="3"/>
        <v/>
      </c>
      <c r="AW68" s="32" t="str">
        <f t="shared" si="4"/>
        <v/>
      </c>
      <c r="AX68" s="32" t="str">
        <f t="shared" si="5"/>
        <v/>
      </c>
      <c r="AY68" s="32" t="str">
        <f t="shared" si="6"/>
        <v/>
      </c>
      <c r="AZ68" s="32" t="str">
        <f t="shared" si="7"/>
        <v/>
      </c>
      <c r="BA68" s="32" t="str">
        <f t="shared" si="8"/>
        <v/>
      </c>
      <c r="BB68" s="32" t="str">
        <f t="shared" si="9"/>
        <v/>
      </c>
      <c r="BC68" s="32" t="str">
        <f>IF(ISBLANK(O68),"",IF(ISBLANK(AO68),"",IF(AO68&gt;='Delivery Note'!$H$5,IF(AO68&lt;='Delivery Note'!$H$5+92,"","ERROR"),"ERROR")))</f>
        <v/>
      </c>
      <c r="BD68" s="32" t="str">
        <f t="shared" si="10"/>
        <v/>
      </c>
      <c r="BE68" s="32" t="str">
        <f t="shared" si="11"/>
        <v/>
      </c>
    </row>
    <row r="69" spans="2:57" x14ac:dyDescent="0.2">
      <c r="B69" s="20"/>
      <c r="C69" s="53"/>
      <c r="E69" s="31">
        <v>69</v>
      </c>
      <c r="F69" s="47"/>
      <c r="G69" s="47"/>
      <c r="H69" s="47"/>
      <c r="I69" s="47"/>
      <c r="J69" s="76"/>
      <c r="K69" s="93"/>
      <c r="L69" s="86"/>
      <c r="M69" s="86"/>
      <c r="N69" s="86"/>
      <c r="O69" s="86"/>
      <c r="P69" s="86"/>
      <c r="Q69" s="86"/>
      <c r="R69" s="86"/>
      <c r="S69" s="86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78"/>
      <c r="AE69" s="78"/>
      <c r="AF69" s="78"/>
      <c r="AG69" s="88"/>
      <c r="AH69" s="78"/>
      <c r="AI69" s="78"/>
      <c r="AJ69" s="95" t="str">
        <f>IF(P69="","",IFERROR(ROUND(IF(OR(P69="G0B",P69="G0T"),Tabelle5[[#This Row],[AI]]/SUM(LER_01!$L$26:$L$27),Tabelle5[[#This Row],[AI]]/(SUM(LER_01!$K$26:$K$27)+IF(LER_01!$D$10&gt;=4,SUM(LER_01!$M$26:$M$27)))),3),""))</f>
        <v/>
      </c>
      <c r="AK69" s="91" t="str">
        <f>IF(P69="","",IF(OR(P69="SOV",P69="SOB",P69="G0T",P69="G0B"),"",IF(AND(OR(P69="BSS",P69="BFS"),LER_01!$D$10&lt;=2),15%,IF(AND(OR(P69="BSN",P69="BFN"),LER_01!$D$10&gt;=4),100%,25%))))</f>
        <v/>
      </c>
      <c r="AL69" s="77"/>
      <c r="AM69" s="78"/>
      <c r="AN69" s="78"/>
      <c r="AO69" s="79"/>
      <c r="AP69" s="94"/>
      <c r="AQ69" s="31"/>
      <c r="AR69" s="20"/>
      <c r="AS69" s="32" t="str">
        <f t="shared" si="0"/>
        <v/>
      </c>
      <c r="AT69" s="32" t="str">
        <f t="shared" si="1"/>
        <v/>
      </c>
      <c r="AU69" s="32" t="str">
        <f t="shared" si="2"/>
        <v/>
      </c>
      <c r="AV69" s="32" t="str">
        <f t="shared" si="3"/>
        <v/>
      </c>
      <c r="AW69" s="32" t="str">
        <f t="shared" si="4"/>
        <v/>
      </c>
      <c r="AX69" s="32" t="str">
        <f t="shared" si="5"/>
        <v/>
      </c>
      <c r="AY69" s="32" t="str">
        <f t="shared" si="6"/>
        <v/>
      </c>
      <c r="AZ69" s="32" t="str">
        <f t="shared" si="7"/>
        <v/>
      </c>
      <c r="BA69" s="32" t="str">
        <f t="shared" si="8"/>
        <v/>
      </c>
      <c r="BB69" s="32" t="str">
        <f t="shared" si="9"/>
        <v/>
      </c>
      <c r="BC69" s="32" t="str">
        <f>IF(ISBLANK(O69),"",IF(ISBLANK(AO69),"",IF(AO69&gt;='Delivery Note'!$H$5,IF(AO69&lt;='Delivery Note'!$H$5+92,"","ERROR"),"ERROR")))</f>
        <v/>
      </c>
      <c r="BD69" s="32" t="str">
        <f t="shared" si="10"/>
        <v/>
      </c>
      <c r="BE69" s="32" t="str">
        <f t="shared" si="11"/>
        <v/>
      </c>
    </row>
    <row r="70" spans="2:57" x14ac:dyDescent="0.2">
      <c r="B70" s="20"/>
      <c r="C70" s="53"/>
      <c r="E70" s="31">
        <v>70</v>
      </c>
      <c r="F70" s="47"/>
      <c r="G70" s="47"/>
      <c r="H70" s="47"/>
      <c r="I70" s="47"/>
      <c r="J70" s="76"/>
      <c r="K70" s="93"/>
      <c r="L70" s="86"/>
      <c r="M70" s="86"/>
      <c r="N70" s="86"/>
      <c r="O70" s="86"/>
      <c r="P70" s="86"/>
      <c r="Q70" s="86"/>
      <c r="R70" s="86"/>
      <c r="S70" s="86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78"/>
      <c r="AE70" s="78"/>
      <c r="AF70" s="78"/>
      <c r="AG70" s="88"/>
      <c r="AH70" s="78"/>
      <c r="AI70" s="78"/>
      <c r="AJ70" s="95" t="str">
        <f>IF(P70="","",IFERROR(ROUND(IF(OR(P70="G0B",P70="G0T"),Tabelle5[[#This Row],[AI]]/SUM(LER_01!$L$26:$L$27),Tabelle5[[#This Row],[AI]]/(SUM(LER_01!$K$26:$K$27)+IF(LER_01!$D$10&gt;=4,SUM(LER_01!$M$26:$M$27)))),3),""))</f>
        <v/>
      </c>
      <c r="AK70" s="91" t="str">
        <f>IF(P70="","",IF(OR(P70="SOV",P70="SOB",P70="G0T",P70="G0B"),"",IF(AND(OR(P70="BSS",P70="BFS"),LER_01!$D$10&lt;=2),15%,IF(AND(OR(P70="BSN",P70="BFN"),LER_01!$D$10&gt;=4),100%,25%))))</f>
        <v/>
      </c>
      <c r="AL70" s="77"/>
      <c r="AM70" s="78"/>
      <c r="AN70" s="78"/>
      <c r="AO70" s="79"/>
      <c r="AP70" s="94"/>
      <c r="AQ70" s="31"/>
      <c r="AR70" s="20"/>
      <c r="AS70" s="32" t="str">
        <f t="shared" si="0"/>
        <v/>
      </c>
      <c r="AT70" s="32" t="str">
        <f t="shared" si="1"/>
        <v/>
      </c>
      <c r="AU70" s="32" t="str">
        <f t="shared" si="2"/>
        <v/>
      </c>
      <c r="AV70" s="32" t="str">
        <f t="shared" si="3"/>
        <v/>
      </c>
      <c r="AW70" s="32" t="str">
        <f t="shared" si="4"/>
        <v/>
      </c>
      <c r="AX70" s="32" t="str">
        <f t="shared" si="5"/>
        <v/>
      </c>
      <c r="AY70" s="32" t="str">
        <f t="shared" si="6"/>
        <v/>
      </c>
      <c r="AZ70" s="32" t="str">
        <f t="shared" si="7"/>
        <v/>
      </c>
      <c r="BA70" s="32" t="str">
        <f t="shared" si="8"/>
        <v/>
      </c>
      <c r="BB70" s="32" t="str">
        <f t="shared" si="9"/>
        <v/>
      </c>
      <c r="BC70" s="32" t="str">
        <f>IF(ISBLANK(O70),"",IF(ISBLANK(AO70),"",IF(AO70&gt;='Delivery Note'!$H$5,IF(AO70&lt;='Delivery Note'!$H$5+92,"","ERROR"),"ERROR")))</f>
        <v/>
      </c>
      <c r="BD70" s="32" t="str">
        <f t="shared" si="10"/>
        <v/>
      </c>
      <c r="BE70" s="32" t="str">
        <f t="shared" si="11"/>
        <v/>
      </c>
    </row>
    <row r="71" spans="2:57" x14ac:dyDescent="0.2">
      <c r="B71" s="20"/>
      <c r="C71" s="53"/>
      <c r="E71" s="31">
        <v>71</v>
      </c>
      <c r="F71" s="47"/>
      <c r="G71" s="47"/>
      <c r="H71" s="47"/>
      <c r="I71" s="47"/>
      <c r="J71" s="76"/>
      <c r="K71" s="93"/>
      <c r="L71" s="86"/>
      <c r="M71" s="86"/>
      <c r="N71" s="86"/>
      <c r="O71" s="86"/>
      <c r="P71" s="86"/>
      <c r="Q71" s="86"/>
      <c r="R71" s="86"/>
      <c r="S71" s="86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78"/>
      <c r="AE71" s="78"/>
      <c r="AF71" s="78"/>
      <c r="AG71" s="88"/>
      <c r="AH71" s="78"/>
      <c r="AI71" s="78"/>
      <c r="AJ71" s="95" t="str">
        <f>IF(P71="","",IFERROR(ROUND(IF(OR(P71="G0B",P71="G0T"),Tabelle5[[#This Row],[AI]]/SUM(LER_01!$L$26:$L$27),Tabelle5[[#This Row],[AI]]/(SUM(LER_01!$K$26:$K$27)+IF(LER_01!$D$10&gt;=4,SUM(LER_01!$M$26:$M$27)))),3),""))</f>
        <v/>
      </c>
      <c r="AK71" s="91" t="str">
        <f>IF(P71="","",IF(OR(P71="SOV",P71="SOB",P71="G0T",P71="G0B"),"",IF(AND(OR(P71="BSS",P71="BFS"),LER_01!$D$10&lt;=2),15%,IF(AND(OR(P71="BSN",P71="BFN"),LER_01!$D$10&gt;=4),100%,25%))))</f>
        <v/>
      </c>
      <c r="AL71" s="77"/>
      <c r="AM71" s="78"/>
      <c r="AN71" s="78"/>
      <c r="AO71" s="79"/>
      <c r="AP71" s="94"/>
      <c r="AQ71" s="31"/>
      <c r="AR71" s="20"/>
      <c r="AS71" s="32" t="str">
        <f t="shared" si="0"/>
        <v/>
      </c>
      <c r="AT71" s="32" t="str">
        <f t="shared" si="1"/>
        <v/>
      </c>
      <c r="AU71" s="32" t="str">
        <f t="shared" si="2"/>
        <v/>
      </c>
      <c r="AV71" s="32" t="str">
        <f t="shared" si="3"/>
        <v/>
      </c>
      <c r="AW71" s="32" t="str">
        <f t="shared" si="4"/>
        <v/>
      </c>
      <c r="AX71" s="32" t="str">
        <f t="shared" si="5"/>
        <v/>
      </c>
      <c r="AY71" s="32" t="str">
        <f t="shared" si="6"/>
        <v/>
      </c>
      <c r="AZ71" s="32" t="str">
        <f t="shared" si="7"/>
        <v/>
      </c>
      <c r="BA71" s="32" t="str">
        <f t="shared" si="8"/>
        <v/>
      </c>
      <c r="BB71" s="32" t="str">
        <f t="shared" si="9"/>
        <v/>
      </c>
      <c r="BC71" s="32" t="str">
        <f>IF(ISBLANK(O71),"",IF(ISBLANK(AO71),"",IF(AO71&gt;='Delivery Note'!$H$5,IF(AO71&lt;='Delivery Note'!$H$5+92,"","ERROR"),"ERROR")))</f>
        <v/>
      </c>
      <c r="BD71" s="32" t="str">
        <f t="shared" si="10"/>
        <v/>
      </c>
      <c r="BE71" s="32" t="str">
        <f t="shared" si="11"/>
        <v/>
      </c>
    </row>
    <row r="72" spans="2:57" x14ac:dyDescent="0.2">
      <c r="B72" s="20"/>
      <c r="C72" s="53"/>
      <c r="E72" s="31">
        <v>72</v>
      </c>
      <c r="F72" s="47"/>
      <c r="G72" s="47"/>
      <c r="H72" s="47"/>
      <c r="I72" s="47"/>
      <c r="J72" s="76"/>
      <c r="K72" s="93"/>
      <c r="L72" s="86"/>
      <c r="M72" s="86"/>
      <c r="N72" s="86"/>
      <c r="O72" s="86"/>
      <c r="P72" s="86"/>
      <c r="Q72" s="86"/>
      <c r="R72" s="86"/>
      <c r="S72" s="86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78"/>
      <c r="AE72" s="78"/>
      <c r="AF72" s="78"/>
      <c r="AG72" s="88"/>
      <c r="AH72" s="78"/>
      <c r="AI72" s="78"/>
      <c r="AJ72" s="95" t="str">
        <f>IF(P72="","",IFERROR(ROUND(IF(OR(P72="G0B",P72="G0T"),Tabelle5[[#This Row],[AI]]/SUM(LER_01!$L$26:$L$27),Tabelle5[[#This Row],[AI]]/(SUM(LER_01!$K$26:$K$27)+IF(LER_01!$D$10&gt;=4,SUM(LER_01!$M$26:$M$27)))),3),""))</f>
        <v/>
      </c>
      <c r="AK72" s="91" t="str">
        <f>IF(P72="","",IF(OR(P72="SOV",P72="SOB",P72="G0T",P72="G0B"),"",IF(AND(OR(P72="BSS",P72="BFS"),LER_01!$D$10&lt;=2),15%,IF(AND(OR(P72="BSN",P72="BFN"),LER_01!$D$10&gt;=4),100%,25%))))</f>
        <v/>
      </c>
      <c r="AL72" s="77"/>
      <c r="AM72" s="78"/>
      <c r="AN72" s="78"/>
      <c r="AO72" s="79"/>
      <c r="AP72" s="94"/>
      <c r="AQ72" s="31"/>
      <c r="AR72" s="20"/>
      <c r="AS72" s="32" t="str">
        <f t="shared" si="0"/>
        <v/>
      </c>
      <c r="AT72" s="32" t="str">
        <f t="shared" si="1"/>
        <v/>
      </c>
      <c r="AU72" s="32" t="str">
        <f t="shared" si="2"/>
        <v/>
      </c>
      <c r="AV72" s="32" t="str">
        <f t="shared" si="3"/>
        <v/>
      </c>
      <c r="AW72" s="32" t="str">
        <f t="shared" si="4"/>
        <v/>
      </c>
      <c r="AX72" s="32" t="str">
        <f t="shared" si="5"/>
        <v/>
      </c>
      <c r="AY72" s="32" t="str">
        <f t="shared" si="6"/>
        <v/>
      </c>
      <c r="AZ72" s="32" t="str">
        <f t="shared" si="7"/>
        <v/>
      </c>
      <c r="BA72" s="32" t="str">
        <f t="shared" si="8"/>
        <v/>
      </c>
      <c r="BB72" s="32" t="str">
        <f t="shared" si="9"/>
        <v/>
      </c>
      <c r="BC72" s="32" t="str">
        <f>IF(ISBLANK(O72),"",IF(ISBLANK(AO72),"",IF(AO72&gt;='Delivery Note'!$H$5,IF(AO72&lt;='Delivery Note'!$H$5+92,"","ERROR"),"ERROR")))</f>
        <v/>
      </c>
      <c r="BD72" s="32" t="str">
        <f t="shared" si="10"/>
        <v/>
      </c>
      <c r="BE72" s="32" t="str">
        <f t="shared" si="11"/>
        <v/>
      </c>
    </row>
    <row r="73" spans="2:57" x14ac:dyDescent="0.2">
      <c r="B73" s="20"/>
      <c r="C73" s="53"/>
      <c r="E73" s="31">
        <v>73</v>
      </c>
      <c r="F73" s="47"/>
      <c r="G73" s="47"/>
      <c r="H73" s="47"/>
      <c r="I73" s="47"/>
      <c r="J73" s="76"/>
      <c r="K73" s="93"/>
      <c r="L73" s="86"/>
      <c r="M73" s="86"/>
      <c r="N73" s="86"/>
      <c r="O73" s="86"/>
      <c r="P73" s="86"/>
      <c r="Q73" s="86"/>
      <c r="R73" s="86"/>
      <c r="S73" s="86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78"/>
      <c r="AE73" s="78"/>
      <c r="AF73" s="78"/>
      <c r="AG73" s="88"/>
      <c r="AH73" s="78"/>
      <c r="AI73" s="78"/>
      <c r="AJ73" s="95" t="str">
        <f>IF(P73="","",IFERROR(ROUND(IF(OR(P73="G0B",P73="G0T"),Tabelle5[[#This Row],[AI]]/SUM(LER_01!$L$26:$L$27),Tabelle5[[#This Row],[AI]]/(SUM(LER_01!$K$26:$K$27)+IF(LER_01!$D$10&gt;=4,SUM(LER_01!$M$26:$M$27)))),3),""))</f>
        <v/>
      </c>
      <c r="AK73" s="91" t="str">
        <f>IF(P73="","",IF(OR(P73="SOV",P73="SOB",P73="G0T",P73="G0B"),"",IF(AND(OR(P73="BSS",P73="BFS"),LER_01!$D$10&lt;=2),15%,IF(AND(OR(P73="BSN",P73="BFN"),LER_01!$D$10&gt;=4),100%,25%))))</f>
        <v/>
      </c>
      <c r="AL73" s="77"/>
      <c r="AM73" s="78"/>
      <c r="AN73" s="78"/>
      <c r="AO73" s="79"/>
      <c r="AP73" s="94"/>
      <c r="AQ73" s="31"/>
      <c r="AR73" s="20"/>
      <c r="AS73" s="32" t="str">
        <f t="shared" si="0"/>
        <v/>
      </c>
      <c r="AT73" s="32" t="str">
        <f t="shared" si="1"/>
        <v/>
      </c>
      <c r="AU73" s="32" t="str">
        <f t="shared" si="2"/>
        <v/>
      </c>
      <c r="AV73" s="32" t="str">
        <f t="shared" si="3"/>
        <v/>
      </c>
      <c r="AW73" s="32" t="str">
        <f t="shared" si="4"/>
        <v/>
      </c>
      <c r="AX73" s="32" t="str">
        <f t="shared" si="5"/>
        <v/>
      </c>
      <c r="AY73" s="32" t="str">
        <f t="shared" si="6"/>
        <v/>
      </c>
      <c r="AZ73" s="32" t="str">
        <f t="shared" si="7"/>
        <v/>
      </c>
      <c r="BA73" s="32" t="str">
        <f t="shared" si="8"/>
        <v/>
      </c>
      <c r="BB73" s="32" t="str">
        <f t="shared" si="9"/>
        <v/>
      </c>
      <c r="BC73" s="32" t="str">
        <f>IF(ISBLANK(O73),"",IF(ISBLANK(AO73),"",IF(AO73&gt;='Delivery Note'!$H$5,IF(AO73&lt;='Delivery Note'!$H$5+92,"","ERROR"),"ERROR")))</f>
        <v/>
      </c>
      <c r="BD73" s="32" t="str">
        <f t="shared" si="10"/>
        <v/>
      </c>
      <c r="BE73" s="32" t="str">
        <f t="shared" si="11"/>
        <v/>
      </c>
    </row>
    <row r="74" spans="2:57" x14ac:dyDescent="0.2">
      <c r="B74" s="20"/>
      <c r="C74" s="53"/>
      <c r="E74" s="31">
        <v>74</v>
      </c>
      <c r="F74" s="47"/>
      <c r="G74" s="47"/>
      <c r="H74" s="47"/>
      <c r="I74" s="47"/>
      <c r="J74" s="76"/>
      <c r="K74" s="93"/>
      <c r="L74" s="86"/>
      <c r="M74" s="86"/>
      <c r="N74" s="86"/>
      <c r="O74" s="86"/>
      <c r="P74" s="86"/>
      <c r="Q74" s="86"/>
      <c r="R74" s="86"/>
      <c r="S74" s="86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78"/>
      <c r="AE74" s="78"/>
      <c r="AF74" s="78"/>
      <c r="AG74" s="88"/>
      <c r="AH74" s="78"/>
      <c r="AI74" s="78"/>
      <c r="AJ74" s="95" t="str">
        <f>IF(P74="","",IFERROR(ROUND(IF(OR(P74="G0B",P74="G0T"),Tabelle5[[#This Row],[AI]]/SUM(LER_01!$L$26:$L$27),Tabelle5[[#This Row],[AI]]/(SUM(LER_01!$K$26:$K$27)+IF(LER_01!$D$10&gt;=4,SUM(LER_01!$M$26:$M$27)))),3),""))</f>
        <v/>
      </c>
      <c r="AK74" s="91" t="str">
        <f>IF(P74="","",IF(OR(P74="SOV",P74="SOB",P74="G0T",P74="G0B"),"",IF(AND(OR(P74="BSS",P74="BFS"),LER_01!$D$10&lt;=2),15%,IF(AND(OR(P74="BSN",P74="BFN"),LER_01!$D$10&gt;=4),100%,25%))))</f>
        <v/>
      </c>
      <c r="AL74" s="77"/>
      <c r="AM74" s="78"/>
      <c r="AN74" s="78"/>
      <c r="AO74" s="79"/>
      <c r="AP74" s="94"/>
      <c r="AQ74" s="31"/>
      <c r="AR74" s="20"/>
      <c r="AS74" s="32" t="str">
        <f t="shared" si="0"/>
        <v/>
      </c>
      <c r="AT74" s="32" t="str">
        <f t="shared" si="1"/>
        <v/>
      </c>
      <c r="AU74" s="32" t="str">
        <f t="shared" si="2"/>
        <v/>
      </c>
      <c r="AV74" s="32" t="str">
        <f t="shared" si="3"/>
        <v/>
      </c>
      <c r="AW74" s="32" t="str">
        <f t="shared" si="4"/>
        <v/>
      </c>
      <c r="AX74" s="32" t="str">
        <f t="shared" si="5"/>
        <v/>
      </c>
      <c r="AY74" s="32" t="str">
        <f t="shared" si="6"/>
        <v/>
      </c>
      <c r="AZ74" s="32" t="str">
        <f t="shared" si="7"/>
        <v/>
      </c>
      <c r="BA74" s="32" t="str">
        <f t="shared" si="8"/>
        <v/>
      </c>
      <c r="BB74" s="32" t="str">
        <f t="shared" si="9"/>
        <v/>
      </c>
      <c r="BC74" s="32" t="str">
        <f>IF(ISBLANK(O74),"",IF(ISBLANK(AO74),"",IF(AO74&gt;='Delivery Note'!$H$5,IF(AO74&lt;='Delivery Note'!$H$5+92,"","ERROR"),"ERROR")))</f>
        <v/>
      </c>
      <c r="BD74" s="32" t="str">
        <f t="shared" si="10"/>
        <v/>
      </c>
      <c r="BE74" s="32" t="str">
        <f t="shared" si="11"/>
        <v/>
      </c>
    </row>
    <row r="75" spans="2:57" x14ac:dyDescent="0.2">
      <c r="B75" s="20"/>
      <c r="C75" s="53"/>
      <c r="E75" s="31">
        <v>75</v>
      </c>
      <c r="F75" s="47"/>
      <c r="G75" s="47"/>
      <c r="H75" s="47"/>
      <c r="I75" s="47"/>
      <c r="J75" s="76"/>
      <c r="K75" s="93"/>
      <c r="L75" s="86"/>
      <c r="M75" s="86"/>
      <c r="N75" s="86"/>
      <c r="O75" s="86"/>
      <c r="P75" s="86"/>
      <c r="Q75" s="86"/>
      <c r="R75" s="86"/>
      <c r="S75" s="86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78"/>
      <c r="AE75" s="78"/>
      <c r="AF75" s="78"/>
      <c r="AG75" s="88"/>
      <c r="AH75" s="78"/>
      <c r="AI75" s="78"/>
      <c r="AJ75" s="95" t="str">
        <f>IF(P75="","",IFERROR(ROUND(IF(OR(P75="G0B",P75="G0T"),Tabelle5[[#This Row],[AI]]/SUM(LER_01!$L$26:$L$27),Tabelle5[[#This Row],[AI]]/(SUM(LER_01!$K$26:$K$27)+IF(LER_01!$D$10&gt;=4,SUM(LER_01!$M$26:$M$27)))),3),""))</f>
        <v/>
      </c>
      <c r="AK75" s="91" t="str">
        <f>IF(P75="","",IF(OR(P75="SOV",P75="SOB",P75="G0T",P75="G0B"),"",IF(AND(OR(P75="BSS",P75="BFS"),LER_01!$D$10&lt;=2),15%,IF(AND(OR(P75="BSN",P75="BFN"),LER_01!$D$10&gt;=4),100%,25%))))</f>
        <v/>
      </c>
      <c r="AL75" s="77"/>
      <c r="AM75" s="78"/>
      <c r="AN75" s="78"/>
      <c r="AO75" s="79"/>
      <c r="AP75" s="94"/>
      <c r="AQ75" s="31"/>
      <c r="AR75" s="20"/>
      <c r="AS75" s="32" t="str">
        <f t="shared" si="0"/>
        <v/>
      </c>
      <c r="AT75" s="32" t="str">
        <f t="shared" si="1"/>
        <v/>
      </c>
      <c r="AU75" s="32" t="str">
        <f t="shared" si="2"/>
        <v/>
      </c>
      <c r="AV75" s="32" t="str">
        <f t="shared" si="3"/>
        <v/>
      </c>
      <c r="AW75" s="32" t="str">
        <f t="shared" si="4"/>
        <v/>
      </c>
      <c r="AX75" s="32" t="str">
        <f t="shared" si="5"/>
        <v/>
      </c>
      <c r="AY75" s="32" t="str">
        <f t="shared" si="6"/>
        <v/>
      </c>
      <c r="AZ75" s="32" t="str">
        <f t="shared" si="7"/>
        <v/>
      </c>
      <c r="BA75" s="32" t="str">
        <f t="shared" si="8"/>
        <v/>
      </c>
      <c r="BB75" s="32" t="str">
        <f t="shared" si="9"/>
        <v/>
      </c>
      <c r="BC75" s="32" t="str">
        <f>IF(ISBLANK(O75),"",IF(ISBLANK(AO75),"",IF(AO75&gt;='Delivery Note'!$H$5,IF(AO75&lt;='Delivery Note'!$H$5+92,"","ERROR"),"ERROR")))</f>
        <v/>
      </c>
      <c r="BD75" s="32" t="str">
        <f t="shared" si="10"/>
        <v/>
      </c>
      <c r="BE75" s="32" t="str">
        <f t="shared" si="11"/>
        <v/>
      </c>
    </row>
    <row r="76" spans="2:57" x14ac:dyDescent="0.2">
      <c r="B76" s="20"/>
      <c r="C76" s="53"/>
      <c r="E76" s="31">
        <v>76</v>
      </c>
      <c r="F76" s="47"/>
      <c r="G76" s="47"/>
      <c r="H76" s="47"/>
      <c r="I76" s="47"/>
      <c r="J76" s="76"/>
      <c r="K76" s="93"/>
      <c r="L76" s="86"/>
      <c r="M76" s="86"/>
      <c r="N76" s="86"/>
      <c r="O76" s="86"/>
      <c r="P76" s="86"/>
      <c r="Q76" s="86"/>
      <c r="R76" s="86"/>
      <c r="S76" s="86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78"/>
      <c r="AE76" s="78"/>
      <c r="AF76" s="78"/>
      <c r="AG76" s="88"/>
      <c r="AH76" s="78"/>
      <c r="AI76" s="78"/>
      <c r="AJ76" s="95" t="str">
        <f>IF(P76="","",IFERROR(ROUND(IF(OR(P76="G0B",P76="G0T"),Tabelle5[[#This Row],[AI]]/SUM(LER_01!$L$26:$L$27),Tabelle5[[#This Row],[AI]]/(SUM(LER_01!$K$26:$K$27)+IF(LER_01!$D$10&gt;=4,SUM(LER_01!$M$26:$M$27)))),3),""))</f>
        <v/>
      </c>
      <c r="AK76" s="91" t="str">
        <f>IF(P76="","",IF(OR(P76="SOV",P76="SOB",P76="G0T",P76="G0B"),"",IF(AND(OR(P76="BSS",P76="BFS"),LER_01!$D$10&lt;=2),15%,IF(AND(OR(P76="BSN",P76="BFN"),LER_01!$D$10&gt;=4),100%,25%))))</f>
        <v/>
      </c>
      <c r="AL76" s="77"/>
      <c r="AM76" s="78"/>
      <c r="AN76" s="78"/>
      <c r="AO76" s="79"/>
      <c r="AP76" s="94"/>
      <c r="AQ76" s="31"/>
      <c r="AR76" s="20"/>
      <c r="AS76" s="32" t="str">
        <f t="shared" si="0"/>
        <v/>
      </c>
      <c r="AT76" s="32" t="str">
        <f t="shared" si="1"/>
        <v/>
      </c>
      <c r="AU76" s="32" t="str">
        <f t="shared" si="2"/>
        <v/>
      </c>
      <c r="AV76" s="32" t="str">
        <f t="shared" si="3"/>
        <v/>
      </c>
      <c r="AW76" s="32" t="str">
        <f t="shared" si="4"/>
        <v/>
      </c>
      <c r="AX76" s="32" t="str">
        <f t="shared" si="5"/>
        <v/>
      </c>
      <c r="AY76" s="32" t="str">
        <f t="shared" si="6"/>
        <v/>
      </c>
      <c r="AZ76" s="32" t="str">
        <f t="shared" si="7"/>
        <v/>
      </c>
      <c r="BA76" s="32" t="str">
        <f t="shared" si="8"/>
        <v/>
      </c>
      <c r="BB76" s="32" t="str">
        <f t="shared" si="9"/>
        <v/>
      </c>
      <c r="BC76" s="32" t="str">
        <f>IF(ISBLANK(O76),"",IF(ISBLANK(AO76),"",IF(AO76&gt;='Delivery Note'!$H$5,IF(AO76&lt;='Delivery Note'!$H$5+92,"","ERROR"),"ERROR")))</f>
        <v/>
      </c>
      <c r="BD76" s="32" t="str">
        <f t="shared" si="10"/>
        <v/>
      </c>
      <c r="BE76" s="32" t="str">
        <f t="shared" si="11"/>
        <v/>
      </c>
    </row>
    <row r="77" spans="2:57" x14ac:dyDescent="0.2">
      <c r="B77" s="20"/>
      <c r="C77" s="53"/>
      <c r="E77" s="31">
        <v>77</v>
      </c>
      <c r="F77" s="47"/>
      <c r="G77" s="47"/>
      <c r="H77" s="47"/>
      <c r="I77" s="47"/>
      <c r="J77" s="76"/>
      <c r="K77" s="93"/>
      <c r="L77" s="86"/>
      <c r="M77" s="86"/>
      <c r="N77" s="86"/>
      <c r="O77" s="86"/>
      <c r="P77" s="86"/>
      <c r="Q77" s="86"/>
      <c r="R77" s="86"/>
      <c r="S77" s="86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78"/>
      <c r="AE77" s="78"/>
      <c r="AF77" s="78"/>
      <c r="AG77" s="88"/>
      <c r="AH77" s="78"/>
      <c r="AI77" s="78"/>
      <c r="AJ77" s="95" t="str">
        <f>IF(P77="","",IFERROR(ROUND(IF(OR(P77="G0B",P77="G0T"),Tabelle5[[#This Row],[AI]]/SUM(LER_01!$L$26:$L$27),Tabelle5[[#This Row],[AI]]/(SUM(LER_01!$K$26:$K$27)+IF(LER_01!$D$10&gt;=4,SUM(LER_01!$M$26:$M$27)))),3),""))</f>
        <v/>
      </c>
      <c r="AK77" s="91" t="str">
        <f>IF(P77="","",IF(OR(P77="SOV",P77="SOB",P77="G0T",P77="G0B"),"",IF(AND(OR(P77="BSS",P77="BFS"),LER_01!$D$10&lt;=2),15%,IF(AND(OR(P77="BSN",P77="BFN"),LER_01!$D$10&gt;=4),100%,25%))))</f>
        <v/>
      </c>
      <c r="AL77" s="77"/>
      <c r="AM77" s="78"/>
      <c r="AN77" s="78"/>
      <c r="AO77" s="79"/>
      <c r="AP77" s="94"/>
      <c r="AQ77" s="31"/>
      <c r="AR77" s="20"/>
      <c r="AS77" s="32" t="str">
        <f t="shared" si="0"/>
        <v/>
      </c>
      <c r="AT77" s="32" t="str">
        <f t="shared" si="1"/>
        <v/>
      </c>
      <c r="AU77" s="32" t="str">
        <f t="shared" si="2"/>
        <v/>
      </c>
      <c r="AV77" s="32" t="str">
        <f t="shared" si="3"/>
        <v/>
      </c>
      <c r="AW77" s="32" t="str">
        <f t="shared" si="4"/>
        <v/>
      </c>
      <c r="AX77" s="32" t="str">
        <f t="shared" si="5"/>
        <v/>
      </c>
      <c r="AY77" s="32" t="str">
        <f t="shared" si="6"/>
        <v/>
      </c>
      <c r="AZ77" s="32" t="str">
        <f t="shared" si="7"/>
        <v/>
      </c>
      <c r="BA77" s="32" t="str">
        <f t="shared" si="8"/>
        <v/>
      </c>
      <c r="BB77" s="32" t="str">
        <f t="shared" si="9"/>
        <v/>
      </c>
      <c r="BC77" s="32" t="str">
        <f>IF(ISBLANK(O77),"",IF(ISBLANK(AO77),"",IF(AO77&gt;='Delivery Note'!$H$5,IF(AO77&lt;='Delivery Note'!$H$5+92,"","ERROR"),"ERROR")))</f>
        <v/>
      </c>
      <c r="BD77" s="32" t="str">
        <f t="shared" si="10"/>
        <v/>
      </c>
      <c r="BE77" s="32" t="str">
        <f t="shared" si="11"/>
        <v/>
      </c>
    </row>
    <row r="78" spans="2:57" x14ac:dyDescent="0.2">
      <c r="B78" s="20"/>
      <c r="C78" s="53"/>
      <c r="E78" s="31">
        <v>78</v>
      </c>
      <c r="F78" s="47"/>
      <c r="G78" s="47"/>
      <c r="H78" s="47"/>
      <c r="I78" s="47"/>
      <c r="J78" s="76"/>
      <c r="K78" s="93"/>
      <c r="L78" s="86"/>
      <c r="M78" s="86"/>
      <c r="N78" s="86"/>
      <c r="O78" s="86"/>
      <c r="P78" s="86"/>
      <c r="Q78" s="86"/>
      <c r="R78" s="86"/>
      <c r="S78" s="86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78"/>
      <c r="AE78" s="78"/>
      <c r="AF78" s="78"/>
      <c r="AG78" s="88"/>
      <c r="AH78" s="78"/>
      <c r="AI78" s="78"/>
      <c r="AJ78" s="95" t="str">
        <f>IF(P78="","",IFERROR(ROUND(IF(OR(P78="G0B",P78="G0T"),Tabelle5[[#This Row],[AI]]/SUM(LER_01!$L$26:$L$27),Tabelle5[[#This Row],[AI]]/(SUM(LER_01!$K$26:$K$27)+IF(LER_01!$D$10&gt;=4,SUM(LER_01!$M$26:$M$27)))),3),""))</f>
        <v/>
      </c>
      <c r="AK78" s="91" t="str">
        <f>IF(P78="","",IF(OR(P78="SOV",P78="SOB",P78="G0T",P78="G0B"),"",IF(AND(OR(P78="BSS",P78="BFS"),LER_01!$D$10&lt;=2),15%,IF(AND(OR(P78="BSN",P78="BFN"),LER_01!$D$10&gt;=4),100%,25%))))</f>
        <v/>
      </c>
      <c r="AL78" s="77"/>
      <c r="AM78" s="78"/>
      <c r="AN78" s="78"/>
      <c r="AO78" s="79"/>
      <c r="AP78" s="94"/>
      <c r="AQ78" s="31"/>
      <c r="AR78" s="20"/>
      <c r="AS78" s="32" t="str">
        <f t="shared" si="0"/>
        <v/>
      </c>
      <c r="AT78" s="32" t="str">
        <f t="shared" si="1"/>
        <v/>
      </c>
      <c r="AU78" s="32" t="str">
        <f t="shared" si="2"/>
        <v/>
      </c>
      <c r="AV78" s="32" t="str">
        <f t="shared" si="3"/>
        <v/>
      </c>
      <c r="AW78" s="32" t="str">
        <f t="shared" si="4"/>
        <v/>
      </c>
      <c r="AX78" s="32" t="str">
        <f t="shared" si="5"/>
        <v/>
      </c>
      <c r="AY78" s="32" t="str">
        <f t="shared" si="6"/>
        <v/>
      </c>
      <c r="AZ78" s="32" t="str">
        <f t="shared" si="7"/>
        <v/>
      </c>
      <c r="BA78" s="32" t="str">
        <f t="shared" si="8"/>
        <v/>
      </c>
      <c r="BB78" s="32" t="str">
        <f t="shared" si="9"/>
        <v/>
      </c>
      <c r="BC78" s="32" t="str">
        <f>IF(ISBLANK(O78),"",IF(ISBLANK(AO78),"",IF(AO78&gt;='Delivery Note'!$H$5,IF(AO78&lt;='Delivery Note'!$H$5+92,"","ERROR"),"ERROR")))</f>
        <v/>
      </c>
      <c r="BD78" s="32" t="str">
        <f t="shared" si="10"/>
        <v/>
      </c>
      <c r="BE78" s="32" t="str">
        <f t="shared" si="11"/>
        <v/>
      </c>
    </row>
    <row r="79" spans="2:57" x14ac:dyDescent="0.2">
      <c r="B79" s="20"/>
      <c r="C79" s="53"/>
      <c r="E79" s="31">
        <v>79</v>
      </c>
      <c r="F79" s="47"/>
      <c r="G79" s="47"/>
      <c r="H79" s="47"/>
      <c r="I79" s="47"/>
      <c r="J79" s="76"/>
      <c r="K79" s="93"/>
      <c r="L79" s="86"/>
      <c r="M79" s="86"/>
      <c r="N79" s="86"/>
      <c r="O79" s="86"/>
      <c r="P79" s="86"/>
      <c r="Q79" s="86"/>
      <c r="R79" s="86"/>
      <c r="S79" s="86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78"/>
      <c r="AE79" s="78"/>
      <c r="AF79" s="78"/>
      <c r="AG79" s="88"/>
      <c r="AH79" s="78"/>
      <c r="AI79" s="78"/>
      <c r="AJ79" s="95" t="str">
        <f>IF(P79="","",IFERROR(ROUND(IF(OR(P79="G0B",P79="G0T"),Tabelle5[[#This Row],[AI]]/SUM(LER_01!$L$26:$L$27),Tabelle5[[#This Row],[AI]]/(SUM(LER_01!$K$26:$K$27)+IF(LER_01!$D$10&gt;=4,SUM(LER_01!$M$26:$M$27)))),3),""))</f>
        <v/>
      </c>
      <c r="AK79" s="91" t="str">
        <f>IF(P79="","",IF(OR(P79="SOV",P79="SOB",P79="G0T",P79="G0B"),"",IF(AND(OR(P79="BSS",P79="BFS"),LER_01!$D$10&lt;=2),15%,IF(AND(OR(P79="BSN",P79="BFN"),LER_01!$D$10&gt;=4),100%,25%))))</f>
        <v/>
      </c>
      <c r="AL79" s="77"/>
      <c r="AM79" s="78"/>
      <c r="AN79" s="78"/>
      <c r="AO79" s="79"/>
      <c r="AP79" s="94"/>
      <c r="AQ79" s="31"/>
      <c r="AR79" s="20"/>
      <c r="AS79" s="32" t="str">
        <f t="shared" si="0"/>
        <v/>
      </c>
      <c r="AT79" s="32" t="str">
        <f t="shared" si="1"/>
        <v/>
      </c>
      <c r="AU79" s="32" t="str">
        <f t="shared" si="2"/>
        <v/>
      </c>
      <c r="AV79" s="32" t="str">
        <f t="shared" si="3"/>
        <v/>
      </c>
      <c r="AW79" s="32" t="str">
        <f t="shared" si="4"/>
        <v/>
      </c>
      <c r="AX79" s="32" t="str">
        <f t="shared" si="5"/>
        <v/>
      </c>
      <c r="AY79" s="32" t="str">
        <f t="shared" si="6"/>
        <v/>
      </c>
      <c r="AZ79" s="32" t="str">
        <f t="shared" si="7"/>
        <v/>
      </c>
      <c r="BA79" s="32" t="str">
        <f t="shared" si="8"/>
        <v/>
      </c>
      <c r="BB79" s="32" t="str">
        <f t="shared" si="9"/>
        <v/>
      </c>
      <c r="BC79" s="32" t="str">
        <f>IF(ISBLANK(O79),"",IF(ISBLANK(AO79),"",IF(AO79&gt;='Delivery Note'!$H$5,IF(AO79&lt;='Delivery Note'!$H$5+92,"","ERROR"),"ERROR")))</f>
        <v/>
      </c>
      <c r="BD79" s="32" t="str">
        <f t="shared" si="10"/>
        <v/>
      </c>
      <c r="BE79" s="32" t="str">
        <f t="shared" si="11"/>
        <v/>
      </c>
    </row>
    <row r="80" spans="2:57" x14ac:dyDescent="0.2">
      <c r="B80" s="20"/>
      <c r="C80" s="53"/>
      <c r="E80" s="31">
        <v>80</v>
      </c>
      <c r="F80" s="47"/>
      <c r="G80" s="47"/>
      <c r="H80" s="47"/>
      <c r="I80" s="47"/>
      <c r="J80" s="76"/>
      <c r="K80" s="93"/>
      <c r="L80" s="86"/>
      <c r="M80" s="86"/>
      <c r="N80" s="86"/>
      <c r="O80" s="86"/>
      <c r="P80" s="86"/>
      <c r="Q80" s="86"/>
      <c r="R80" s="86"/>
      <c r="S80" s="86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78"/>
      <c r="AE80" s="78"/>
      <c r="AF80" s="78"/>
      <c r="AG80" s="88"/>
      <c r="AH80" s="78"/>
      <c r="AI80" s="78"/>
      <c r="AJ80" s="95" t="str">
        <f>IF(P80="","",IFERROR(ROUND(IF(OR(P80="G0B",P80="G0T"),Tabelle5[[#This Row],[AI]]/SUM(LER_01!$L$26:$L$27),Tabelle5[[#This Row],[AI]]/(SUM(LER_01!$K$26:$K$27)+IF(LER_01!$D$10&gt;=4,SUM(LER_01!$M$26:$M$27)))),3),""))</f>
        <v/>
      </c>
      <c r="AK80" s="91" t="str">
        <f>IF(P80="","",IF(OR(P80="SOV",P80="SOB",P80="G0T",P80="G0B"),"",IF(AND(OR(P80="BSS",P80="BFS"),LER_01!$D$10&lt;=2),15%,IF(AND(OR(P80="BSN",P80="BFN"),LER_01!$D$10&gt;=4),100%,25%))))</f>
        <v/>
      </c>
      <c r="AL80" s="77"/>
      <c r="AM80" s="78"/>
      <c r="AN80" s="78"/>
      <c r="AO80" s="79"/>
      <c r="AP80" s="94"/>
      <c r="AQ80" s="31"/>
      <c r="AR80" s="20"/>
      <c r="AS80" s="32" t="str">
        <f t="shared" si="0"/>
        <v/>
      </c>
      <c r="AT80" s="32" t="str">
        <f t="shared" si="1"/>
        <v/>
      </c>
      <c r="AU80" s="32" t="str">
        <f t="shared" si="2"/>
        <v/>
      </c>
      <c r="AV80" s="32" t="str">
        <f t="shared" si="3"/>
        <v/>
      </c>
      <c r="AW80" s="32" t="str">
        <f t="shared" si="4"/>
        <v/>
      </c>
      <c r="AX80" s="32" t="str">
        <f t="shared" si="5"/>
        <v/>
      </c>
      <c r="AY80" s="32" t="str">
        <f t="shared" si="6"/>
        <v/>
      </c>
      <c r="AZ80" s="32" t="str">
        <f t="shared" si="7"/>
        <v/>
      </c>
      <c r="BA80" s="32" t="str">
        <f t="shared" si="8"/>
        <v/>
      </c>
      <c r="BB80" s="32" t="str">
        <f t="shared" si="9"/>
        <v/>
      </c>
      <c r="BC80" s="32" t="str">
        <f>IF(ISBLANK(O80),"",IF(ISBLANK(AO80),"",IF(AO80&gt;='Delivery Note'!$H$5,IF(AO80&lt;='Delivery Note'!$H$5+92,"","ERROR"),"ERROR")))</f>
        <v/>
      </c>
      <c r="BD80" s="32" t="str">
        <f t="shared" si="10"/>
        <v/>
      </c>
      <c r="BE80" s="32" t="str">
        <f t="shared" si="11"/>
        <v/>
      </c>
    </row>
    <row r="81" spans="2:57" x14ac:dyDescent="0.2">
      <c r="B81" s="20"/>
      <c r="C81" s="53"/>
      <c r="E81" s="31">
        <v>81</v>
      </c>
      <c r="F81" s="47"/>
      <c r="G81" s="47"/>
      <c r="H81" s="47"/>
      <c r="I81" s="47"/>
      <c r="J81" s="76"/>
      <c r="K81" s="93"/>
      <c r="L81" s="86"/>
      <c r="M81" s="86"/>
      <c r="N81" s="86"/>
      <c r="O81" s="86"/>
      <c r="P81" s="86"/>
      <c r="Q81" s="86"/>
      <c r="R81" s="86"/>
      <c r="S81" s="86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78"/>
      <c r="AE81" s="78"/>
      <c r="AF81" s="78"/>
      <c r="AG81" s="88"/>
      <c r="AH81" s="78"/>
      <c r="AI81" s="78"/>
      <c r="AJ81" s="95" t="str">
        <f>IF(P81="","",IFERROR(ROUND(IF(OR(P81="G0B",P81="G0T"),Tabelle5[[#This Row],[AI]]/SUM(LER_01!$L$26:$L$27),Tabelle5[[#This Row],[AI]]/(SUM(LER_01!$K$26:$K$27)+IF(LER_01!$D$10&gt;=4,SUM(LER_01!$M$26:$M$27)))),3),""))</f>
        <v/>
      </c>
      <c r="AK81" s="91" t="str">
        <f>IF(P81="","",IF(OR(P81="SOV",P81="SOB",P81="G0T",P81="G0B"),"",IF(AND(OR(P81="BSS",P81="BFS"),LER_01!$D$10&lt;=2),15%,IF(AND(OR(P81="BSN",P81="BFN"),LER_01!$D$10&gt;=4),100%,25%))))</f>
        <v/>
      </c>
      <c r="AL81" s="77"/>
      <c r="AM81" s="78"/>
      <c r="AN81" s="78"/>
      <c r="AO81" s="79"/>
      <c r="AP81" s="94"/>
      <c r="AQ81" s="31"/>
      <c r="AR81" s="20"/>
      <c r="AS81" s="32" t="str">
        <f t="shared" si="0"/>
        <v/>
      </c>
      <c r="AT81" s="32" t="str">
        <f t="shared" si="1"/>
        <v/>
      </c>
      <c r="AU81" s="32" t="str">
        <f t="shared" si="2"/>
        <v/>
      </c>
      <c r="AV81" s="32" t="str">
        <f t="shared" si="3"/>
        <v/>
      </c>
      <c r="AW81" s="32" t="str">
        <f t="shared" si="4"/>
        <v/>
      </c>
      <c r="AX81" s="32" t="str">
        <f t="shared" si="5"/>
        <v/>
      </c>
      <c r="AY81" s="32" t="str">
        <f t="shared" si="6"/>
        <v/>
      </c>
      <c r="AZ81" s="32" t="str">
        <f t="shared" si="7"/>
        <v/>
      </c>
      <c r="BA81" s="32" t="str">
        <f t="shared" si="8"/>
        <v/>
      </c>
      <c r="BB81" s="32" t="str">
        <f t="shared" si="9"/>
        <v/>
      </c>
      <c r="BC81" s="32" t="str">
        <f>IF(ISBLANK(O81),"",IF(ISBLANK(AO81),"",IF(AO81&gt;='Delivery Note'!$H$5,IF(AO81&lt;='Delivery Note'!$H$5+92,"","ERROR"),"ERROR")))</f>
        <v/>
      </c>
      <c r="BD81" s="32" t="str">
        <f t="shared" si="10"/>
        <v/>
      </c>
      <c r="BE81" s="32" t="str">
        <f t="shared" si="11"/>
        <v/>
      </c>
    </row>
    <row r="82" spans="2:57" x14ac:dyDescent="0.2">
      <c r="B82" s="20"/>
      <c r="C82" s="53"/>
      <c r="E82" s="31">
        <v>82</v>
      </c>
      <c r="F82" s="47"/>
      <c r="G82" s="47"/>
      <c r="H82" s="47"/>
      <c r="I82" s="47"/>
      <c r="J82" s="76"/>
      <c r="K82" s="93"/>
      <c r="L82" s="86"/>
      <c r="M82" s="86"/>
      <c r="N82" s="86"/>
      <c r="O82" s="86"/>
      <c r="P82" s="86"/>
      <c r="Q82" s="86"/>
      <c r="R82" s="86"/>
      <c r="S82" s="86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78"/>
      <c r="AE82" s="78"/>
      <c r="AF82" s="78"/>
      <c r="AG82" s="88"/>
      <c r="AH82" s="78"/>
      <c r="AI82" s="78"/>
      <c r="AJ82" s="95" t="str">
        <f>IF(P82="","",IFERROR(ROUND(IF(OR(P82="G0B",P82="G0T"),Tabelle5[[#This Row],[AI]]/SUM(LER_01!$L$26:$L$27),Tabelle5[[#This Row],[AI]]/(SUM(LER_01!$K$26:$K$27)+IF(LER_01!$D$10&gt;=4,SUM(LER_01!$M$26:$M$27)))),3),""))</f>
        <v/>
      </c>
      <c r="AK82" s="91" t="str">
        <f>IF(P82="","",IF(OR(P82="SOV",P82="SOB",P82="G0T",P82="G0B"),"",IF(AND(OR(P82="BSS",P82="BFS"),LER_01!$D$10&lt;=2),15%,IF(AND(OR(P82="BSN",P82="BFN"),LER_01!$D$10&gt;=4),100%,25%))))</f>
        <v/>
      </c>
      <c r="AL82" s="77"/>
      <c r="AM82" s="78"/>
      <c r="AN82" s="78"/>
      <c r="AO82" s="79"/>
      <c r="AP82" s="94"/>
      <c r="AQ82" s="31"/>
      <c r="AR82" s="20"/>
      <c r="AS82" s="32" t="str">
        <f t="shared" si="0"/>
        <v/>
      </c>
      <c r="AT82" s="32" t="str">
        <f t="shared" si="1"/>
        <v/>
      </c>
      <c r="AU82" s="32" t="str">
        <f t="shared" si="2"/>
        <v/>
      </c>
      <c r="AV82" s="32" t="str">
        <f t="shared" si="3"/>
        <v/>
      </c>
      <c r="AW82" s="32" t="str">
        <f t="shared" si="4"/>
        <v/>
      </c>
      <c r="AX82" s="32" t="str">
        <f t="shared" si="5"/>
        <v/>
      </c>
      <c r="AY82" s="32" t="str">
        <f t="shared" si="6"/>
        <v/>
      </c>
      <c r="AZ82" s="32" t="str">
        <f t="shared" si="7"/>
        <v/>
      </c>
      <c r="BA82" s="32" t="str">
        <f t="shared" si="8"/>
        <v/>
      </c>
      <c r="BB82" s="32" t="str">
        <f t="shared" si="9"/>
        <v/>
      </c>
      <c r="BC82" s="32" t="str">
        <f>IF(ISBLANK(O82),"",IF(ISBLANK(AO82),"",IF(AO82&gt;='Delivery Note'!$H$5,IF(AO82&lt;='Delivery Note'!$H$5+92,"","ERROR"),"ERROR")))</f>
        <v/>
      </c>
      <c r="BD82" s="32" t="str">
        <f t="shared" si="10"/>
        <v/>
      </c>
      <c r="BE82" s="32" t="str">
        <f t="shared" si="11"/>
        <v/>
      </c>
    </row>
    <row r="83" spans="2:57" x14ac:dyDescent="0.2">
      <c r="B83" s="20"/>
      <c r="C83" s="53"/>
      <c r="E83" s="31">
        <v>83</v>
      </c>
      <c r="F83" s="47"/>
      <c r="G83" s="47"/>
      <c r="H83" s="47"/>
      <c r="I83" s="47"/>
      <c r="J83" s="76"/>
      <c r="K83" s="93"/>
      <c r="L83" s="86"/>
      <c r="M83" s="86"/>
      <c r="N83" s="86"/>
      <c r="O83" s="86"/>
      <c r="P83" s="86"/>
      <c r="Q83" s="86"/>
      <c r="R83" s="86"/>
      <c r="S83" s="86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78"/>
      <c r="AE83" s="78"/>
      <c r="AF83" s="78"/>
      <c r="AG83" s="88"/>
      <c r="AH83" s="78"/>
      <c r="AI83" s="78"/>
      <c r="AJ83" s="95" t="str">
        <f>IF(P83="","",IFERROR(ROUND(IF(OR(P83="G0B",P83="G0T"),Tabelle5[[#This Row],[AI]]/SUM(LER_01!$L$26:$L$27),Tabelle5[[#This Row],[AI]]/(SUM(LER_01!$K$26:$K$27)+IF(LER_01!$D$10&gt;=4,SUM(LER_01!$M$26:$M$27)))),3),""))</f>
        <v/>
      </c>
      <c r="AK83" s="91" t="str">
        <f>IF(P83="","",IF(OR(P83="SOV",P83="SOB",P83="G0T",P83="G0B"),"",IF(AND(OR(P83="BSS",P83="BFS"),LER_01!$D$10&lt;=2),15%,IF(AND(OR(P83="BSN",P83="BFN"),LER_01!$D$10&gt;=4),100%,25%))))</f>
        <v/>
      </c>
      <c r="AL83" s="77"/>
      <c r="AM83" s="78"/>
      <c r="AN83" s="78"/>
      <c r="AO83" s="79"/>
      <c r="AP83" s="94"/>
      <c r="AQ83" s="31"/>
      <c r="AR83" s="20"/>
      <c r="AS83" s="32" t="str">
        <f t="shared" si="0"/>
        <v/>
      </c>
      <c r="AT83" s="32" t="str">
        <f t="shared" si="1"/>
        <v/>
      </c>
      <c r="AU83" s="32" t="str">
        <f t="shared" si="2"/>
        <v/>
      </c>
      <c r="AV83" s="32" t="str">
        <f t="shared" si="3"/>
        <v/>
      </c>
      <c r="AW83" s="32" t="str">
        <f t="shared" si="4"/>
        <v/>
      </c>
      <c r="AX83" s="32" t="str">
        <f t="shared" si="5"/>
        <v/>
      </c>
      <c r="AY83" s="32" t="str">
        <f t="shared" si="6"/>
        <v/>
      </c>
      <c r="AZ83" s="32" t="str">
        <f t="shared" si="7"/>
        <v/>
      </c>
      <c r="BA83" s="32" t="str">
        <f t="shared" si="8"/>
        <v/>
      </c>
      <c r="BB83" s="32" t="str">
        <f t="shared" si="9"/>
        <v/>
      </c>
      <c r="BC83" s="32" t="str">
        <f>IF(ISBLANK(O83),"",IF(ISBLANK(AO83),"",IF(AO83&gt;='Delivery Note'!$H$5,IF(AO83&lt;='Delivery Note'!$H$5+92,"","ERROR"),"ERROR")))</f>
        <v/>
      </c>
      <c r="BD83" s="32" t="str">
        <f t="shared" si="10"/>
        <v/>
      </c>
      <c r="BE83" s="32" t="str">
        <f t="shared" si="11"/>
        <v/>
      </c>
    </row>
    <row r="84" spans="2:57" x14ac:dyDescent="0.2">
      <c r="B84" s="20"/>
      <c r="C84" s="53"/>
      <c r="E84" s="31">
        <v>84</v>
      </c>
      <c r="F84" s="47"/>
      <c r="G84" s="47"/>
      <c r="H84" s="47"/>
      <c r="I84" s="47"/>
      <c r="J84" s="76"/>
      <c r="K84" s="93"/>
      <c r="L84" s="86"/>
      <c r="M84" s="86"/>
      <c r="N84" s="86"/>
      <c r="O84" s="86"/>
      <c r="P84" s="86"/>
      <c r="Q84" s="86"/>
      <c r="R84" s="86"/>
      <c r="S84" s="86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78"/>
      <c r="AE84" s="78"/>
      <c r="AF84" s="78"/>
      <c r="AG84" s="88"/>
      <c r="AH84" s="78"/>
      <c r="AI84" s="78"/>
      <c r="AJ84" s="95" t="str">
        <f>IF(P84="","",IFERROR(ROUND(IF(OR(P84="G0B",P84="G0T"),Tabelle5[[#This Row],[AI]]/SUM(LER_01!$L$26:$L$27),Tabelle5[[#This Row],[AI]]/(SUM(LER_01!$K$26:$K$27)+IF(LER_01!$D$10&gt;=4,SUM(LER_01!$M$26:$M$27)))),3),""))</f>
        <v/>
      </c>
      <c r="AK84" s="91" t="str">
        <f>IF(P84="","",IF(OR(P84="SOV",P84="SOB",P84="G0T",P84="G0B"),"",IF(AND(OR(P84="BSS",P84="BFS"),LER_01!$D$10&lt;=2),15%,IF(AND(OR(P84="BSN",P84="BFN"),LER_01!$D$10&gt;=4),100%,25%))))</f>
        <v/>
      </c>
      <c r="AL84" s="77"/>
      <c r="AM84" s="78"/>
      <c r="AN84" s="78"/>
      <c r="AO84" s="79"/>
      <c r="AP84" s="94"/>
      <c r="AQ84" s="31"/>
      <c r="AR84" s="20"/>
      <c r="AS84" s="32" t="str">
        <f t="shared" ref="AS84:AS147" si="12">IF(COUNTBLANK(K84:AP84)=32,"",IF(OR(COUNTA(K84,L84,O84,P84,Q84,R84,S84,AC84,AH84,AI84,AM84)=11,AND(OR(P84="G1T",P84="G0T"),COUNTA(AH84)=1)),"","ERROR"))</f>
        <v/>
      </c>
      <c r="AT84" s="32" t="str">
        <f t="shared" ref="AT84:AT147" si="13">IF(ISBLANK(M84),"",IF(LEN(M84)=20,"","ERROR"))</f>
        <v/>
      </c>
      <c r="AU84" s="32" t="str">
        <f t="shared" ref="AU84:AU147" si="14">IF(ISBLANK(N84),"",IF(AND(LEFT(N84,3)="CHE",ISNUMBER(MID(N84,4,9)+0),LEN(N84)=12),"","ERROR"))</f>
        <v/>
      </c>
      <c r="AV84" s="32" t="str">
        <f t="shared" ref="AV84:AV147" si="15">IF(COUNTIF(O$19:O$169,O84)&gt;1,"Duplicate","")</f>
        <v/>
      </c>
      <c r="AW84" s="32" t="str">
        <f t="shared" ref="AW84:AW147" si="16">IF(ISBLANK(O84),"",IF(ABS(AC84-SUM(U84,V84,W84,X84,Y84,Z84,AA84,AB84))&lt;=0.5,"","ERROR"))</f>
        <v/>
      </c>
      <c r="AX84" s="32" t="str">
        <f t="shared" ref="AX84:AX147" si="17">IF(ISBLANK(O84),"",IF(AC84+SUM(AD84,AE84,AF84,AG84)&gt;=AH84-0.5,"","ERROR"))</f>
        <v/>
      </c>
      <c r="AY84" s="32" t="str">
        <f t="shared" ref="AY84:AY147" si="18">IF(ISBLANK(O84),"",IF(AH84&gt;=AI84-0.5,"","ERROR"))</f>
        <v/>
      </c>
      <c r="AZ84" s="32" t="str">
        <f t="shared" ref="AZ84:AZ147" si="19">IF(ISBLANK(O84),"",IF(AI84&gt;=AN84-0.5,"","ERROR"))</f>
        <v/>
      </c>
      <c r="BA84" s="32" t="str">
        <f t="shared" ref="BA84:BA147" si="20">IF(ISBLANK(O84),"",IF(T84&gt;=0,"","ERROR"))</f>
        <v/>
      </c>
      <c r="BB84" s="32" t="str">
        <f t="shared" ref="BB84:BB147" si="21">IF(ISBLANK(O84),"",IF(COUNTIF(AD84:AG84,"&gt;0")&gt;0,"ERROR",""))</f>
        <v/>
      </c>
      <c r="BC84" s="32" t="str">
        <f>IF(ISBLANK(O84),"",IF(ISBLANK(AO84),"",IF(AO84&gt;='Delivery Note'!$H$5,IF(AO84&lt;='Delivery Note'!$H$5+92,"","ERROR"),"ERROR")))</f>
        <v/>
      </c>
      <c r="BD84" s="32" t="str">
        <f t="shared" ref="BD84:BD147" si="22">IF(COUNTBLANK(K84:AP84)=32,"",IF(AND(COUNTIF(P$19:P$169,"G0T")&gt;0,COUNTIF(P$19:P$169,"G1T")&gt;0),IF(AND(OR(P84="G0T",P84="G1T"),OR(ISBLANK(AH84),AH84&lt;0)),"WARNING",""),"WARNING"))</f>
        <v/>
      </c>
      <c r="BE84" s="32" t="str">
        <f t="shared" ref="BE84:BE147" si="23">IF(ISBLANK(P84),"",IF(AND(OR(P84="OTH", P84="PDT"), ISBLANK(AP84)), "WARNING", ""))</f>
        <v/>
      </c>
    </row>
    <row r="85" spans="2:57" x14ac:dyDescent="0.2">
      <c r="B85" s="20"/>
      <c r="C85" s="53"/>
      <c r="E85" s="31">
        <v>85</v>
      </c>
      <c r="F85" s="47"/>
      <c r="G85" s="47"/>
      <c r="H85" s="47"/>
      <c r="I85" s="47"/>
      <c r="J85" s="76"/>
      <c r="K85" s="93"/>
      <c r="L85" s="86"/>
      <c r="M85" s="86"/>
      <c r="N85" s="86"/>
      <c r="O85" s="86"/>
      <c r="P85" s="86"/>
      <c r="Q85" s="86"/>
      <c r="R85" s="86"/>
      <c r="S85" s="86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78"/>
      <c r="AE85" s="78"/>
      <c r="AF85" s="78"/>
      <c r="AG85" s="88"/>
      <c r="AH85" s="78"/>
      <c r="AI85" s="78"/>
      <c r="AJ85" s="95" t="str">
        <f>IF(P85="","",IFERROR(ROUND(IF(OR(P85="G0B",P85="G0T"),Tabelle5[[#This Row],[AI]]/SUM(LER_01!$L$26:$L$27),Tabelle5[[#This Row],[AI]]/(SUM(LER_01!$K$26:$K$27)+IF(LER_01!$D$10&gt;=4,SUM(LER_01!$M$26:$M$27)))),3),""))</f>
        <v/>
      </c>
      <c r="AK85" s="91" t="str">
        <f>IF(P85="","",IF(OR(P85="SOV",P85="SOB",P85="G0T",P85="G0B"),"",IF(AND(OR(P85="BSS",P85="BFS"),LER_01!$D$10&lt;=2),15%,IF(AND(OR(P85="BSN",P85="BFN"),LER_01!$D$10&gt;=4),100%,25%))))</f>
        <v/>
      </c>
      <c r="AL85" s="77"/>
      <c r="AM85" s="78"/>
      <c r="AN85" s="78"/>
      <c r="AO85" s="79"/>
      <c r="AP85" s="94"/>
      <c r="AQ85" s="31"/>
      <c r="AR85" s="20"/>
      <c r="AS85" s="32" t="str">
        <f t="shared" si="12"/>
        <v/>
      </c>
      <c r="AT85" s="32" t="str">
        <f t="shared" si="13"/>
        <v/>
      </c>
      <c r="AU85" s="32" t="str">
        <f t="shared" si="14"/>
        <v/>
      </c>
      <c r="AV85" s="32" t="str">
        <f t="shared" si="15"/>
        <v/>
      </c>
      <c r="AW85" s="32" t="str">
        <f t="shared" si="16"/>
        <v/>
      </c>
      <c r="AX85" s="32" t="str">
        <f t="shared" si="17"/>
        <v/>
      </c>
      <c r="AY85" s="32" t="str">
        <f t="shared" si="18"/>
        <v/>
      </c>
      <c r="AZ85" s="32" t="str">
        <f t="shared" si="19"/>
        <v/>
      </c>
      <c r="BA85" s="32" t="str">
        <f t="shared" si="20"/>
        <v/>
      </c>
      <c r="BB85" s="32" t="str">
        <f t="shared" si="21"/>
        <v/>
      </c>
      <c r="BC85" s="32" t="str">
        <f>IF(ISBLANK(O85),"",IF(ISBLANK(AO85),"",IF(AO85&gt;='Delivery Note'!$H$5,IF(AO85&lt;='Delivery Note'!$H$5+92,"","ERROR"),"ERROR")))</f>
        <v/>
      </c>
      <c r="BD85" s="32" t="str">
        <f t="shared" si="22"/>
        <v/>
      </c>
      <c r="BE85" s="32" t="str">
        <f t="shared" si="23"/>
        <v/>
      </c>
    </row>
    <row r="86" spans="2:57" x14ac:dyDescent="0.2">
      <c r="B86" s="20"/>
      <c r="C86" s="53"/>
      <c r="E86" s="31">
        <v>86</v>
      </c>
      <c r="F86" s="47"/>
      <c r="G86" s="47"/>
      <c r="H86" s="47"/>
      <c r="I86" s="47"/>
      <c r="J86" s="76"/>
      <c r="K86" s="93"/>
      <c r="L86" s="86"/>
      <c r="M86" s="86"/>
      <c r="N86" s="86"/>
      <c r="O86" s="86"/>
      <c r="P86" s="86"/>
      <c r="Q86" s="86"/>
      <c r="R86" s="86"/>
      <c r="S86" s="86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78"/>
      <c r="AE86" s="78"/>
      <c r="AF86" s="78"/>
      <c r="AG86" s="88"/>
      <c r="AH86" s="78"/>
      <c r="AI86" s="78"/>
      <c r="AJ86" s="95" t="str">
        <f>IF(P86="","",IFERROR(ROUND(IF(OR(P86="G0B",P86="G0T"),Tabelle5[[#This Row],[AI]]/SUM(LER_01!$L$26:$L$27),Tabelle5[[#This Row],[AI]]/(SUM(LER_01!$K$26:$K$27)+IF(LER_01!$D$10&gt;=4,SUM(LER_01!$M$26:$M$27)))),3),""))</f>
        <v/>
      </c>
      <c r="AK86" s="91" t="str">
        <f>IF(P86="","",IF(OR(P86="SOV",P86="SOB",P86="G0T",P86="G0B"),"",IF(AND(OR(P86="BSS",P86="BFS"),LER_01!$D$10&lt;=2),15%,IF(AND(OR(P86="BSN",P86="BFN"),LER_01!$D$10&gt;=4),100%,25%))))</f>
        <v/>
      </c>
      <c r="AL86" s="77"/>
      <c r="AM86" s="78"/>
      <c r="AN86" s="78"/>
      <c r="AO86" s="79"/>
      <c r="AP86" s="94"/>
      <c r="AQ86" s="31"/>
      <c r="AR86" s="20"/>
      <c r="AS86" s="32" t="str">
        <f t="shared" si="12"/>
        <v/>
      </c>
      <c r="AT86" s="32" t="str">
        <f t="shared" si="13"/>
        <v/>
      </c>
      <c r="AU86" s="32" t="str">
        <f t="shared" si="14"/>
        <v/>
      </c>
      <c r="AV86" s="32" t="str">
        <f t="shared" si="15"/>
        <v/>
      </c>
      <c r="AW86" s="32" t="str">
        <f t="shared" si="16"/>
        <v/>
      </c>
      <c r="AX86" s="32" t="str">
        <f t="shared" si="17"/>
        <v/>
      </c>
      <c r="AY86" s="32" t="str">
        <f t="shared" si="18"/>
        <v/>
      </c>
      <c r="AZ86" s="32" t="str">
        <f t="shared" si="19"/>
        <v/>
      </c>
      <c r="BA86" s="32" t="str">
        <f t="shared" si="20"/>
        <v/>
      </c>
      <c r="BB86" s="32" t="str">
        <f t="shared" si="21"/>
        <v/>
      </c>
      <c r="BC86" s="32" t="str">
        <f>IF(ISBLANK(O86),"",IF(ISBLANK(AO86),"",IF(AO86&gt;='Delivery Note'!$H$5,IF(AO86&lt;='Delivery Note'!$H$5+92,"","ERROR"),"ERROR")))</f>
        <v/>
      </c>
      <c r="BD86" s="32" t="str">
        <f t="shared" si="22"/>
        <v/>
      </c>
      <c r="BE86" s="32" t="str">
        <f t="shared" si="23"/>
        <v/>
      </c>
    </row>
    <row r="87" spans="2:57" x14ac:dyDescent="0.2">
      <c r="B87" s="20"/>
      <c r="C87" s="53"/>
      <c r="E87" s="31">
        <v>87</v>
      </c>
      <c r="F87" s="47"/>
      <c r="G87" s="47"/>
      <c r="H87" s="47"/>
      <c r="I87" s="47"/>
      <c r="J87" s="76"/>
      <c r="K87" s="93"/>
      <c r="L87" s="86"/>
      <c r="M87" s="86"/>
      <c r="N87" s="86"/>
      <c r="O87" s="86"/>
      <c r="P87" s="86"/>
      <c r="Q87" s="86"/>
      <c r="R87" s="86"/>
      <c r="S87" s="86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78"/>
      <c r="AE87" s="78"/>
      <c r="AF87" s="78"/>
      <c r="AG87" s="88"/>
      <c r="AH87" s="78"/>
      <c r="AI87" s="78"/>
      <c r="AJ87" s="95" t="str">
        <f>IF(P87="","",IFERROR(ROUND(IF(OR(P87="G0B",P87="G0T"),Tabelle5[[#This Row],[AI]]/SUM(LER_01!$L$26:$L$27),Tabelle5[[#This Row],[AI]]/(SUM(LER_01!$K$26:$K$27)+IF(LER_01!$D$10&gt;=4,SUM(LER_01!$M$26:$M$27)))),3),""))</f>
        <v/>
      </c>
      <c r="AK87" s="91" t="str">
        <f>IF(P87="","",IF(OR(P87="SOV",P87="SOB",P87="G0T",P87="G0B"),"",IF(AND(OR(P87="BSS",P87="BFS"),LER_01!$D$10&lt;=2),15%,IF(AND(OR(P87="BSN",P87="BFN"),LER_01!$D$10&gt;=4),100%,25%))))</f>
        <v/>
      </c>
      <c r="AL87" s="77"/>
      <c r="AM87" s="78"/>
      <c r="AN87" s="78"/>
      <c r="AO87" s="79"/>
      <c r="AP87" s="94"/>
      <c r="AQ87" s="31"/>
      <c r="AR87" s="20"/>
      <c r="AS87" s="32" t="str">
        <f t="shared" si="12"/>
        <v/>
      </c>
      <c r="AT87" s="32" t="str">
        <f t="shared" si="13"/>
        <v/>
      </c>
      <c r="AU87" s="32" t="str">
        <f t="shared" si="14"/>
        <v/>
      </c>
      <c r="AV87" s="32" t="str">
        <f t="shared" si="15"/>
        <v/>
      </c>
      <c r="AW87" s="32" t="str">
        <f t="shared" si="16"/>
        <v/>
      </c>
      <c r="AX87" s="32" t="str">
        <f t="shared" si="17"/>
        <v/>
      </c>
      <c r="AY87" s="32" t="str">
        <f t="shared" si="18"/>
        <v/>
      </c>
      <c r="AZ87" s="32" t="str">
        <f t="shared" si="19"/>
        <v/>
      </c>
      <c r="BA87" s="32" t="str">
        <f t="shared" si="20"/>
        <v/>
      </c>
      <c r="BB87" s="32" t="str">
        <f t="shared" si="21"/>
        <v/>
      </c>
      <c r="BC87" s="32" t="str">
        <f>IF(ISBLANK(O87),"",IF(ISBLANK(AO87),"",IF(AO87&gt;='Delivery Note'!$H$5,IF(AO87&lt;='Delivery Note'!$H$5+92,"","ERROR"),"ERROR")))</f>
        <v/>
      </c>
      <c r="BD87" s="32" t="str">
        <f t="shared" si="22"/>
        <v/>
      </c>
      <c r="BE87" s="32" t="str">
        <f t="shared" si="23"/>
        <v/>
      </c>
    </row>
    <row r="88" spans="2:57" x14ac:dyDescent="0.2">
      <c r="B88" s="20"/>
      <c r="C88" s="53"/>
      <c r="E88" s="31">
        <v>88</v>
      </c>
      <c r="F88" s="47"/>
      <c r="G88" s="47"/>
      <c r="H88" s="47"/>
      <c r="I88" s="47"/>
      <c r="J88" s="76"/>
      <c r="K88" s="93"/>
      <c r="L88" s="86"/>
      <c r="M88" s="86"/>
      <c r="N88" s="86"/>
      <c r="O88" s="86"/>
      <c r="P88" s="86"/>
      <c r="Q88" s="86"/>
      <c r="R88" s="86"/>
      <c r="S88" s="86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78"/>
      <c r="AE88" s="78"/>
      <c r="AF88" s="78"/>
      <c r="AG88" s="88"/>
      <c r="AH88" s="78"/>
      <c r="AI88" s="78"/>
      <c r="AJ88" s="95" t="str">
        <f>IF(P88="","",IFERROR(ROUND(IF(OR(P88="G0B",P88="G0T"),Tabelle5[[#This Row],[AI]]/SUM(LER_01!$L$26:$L$27),Tabelle5[[#This Row],[AI]]/(SUM(LER_01!$K$26:$K$27)+IF(LER_01!$D$10&gt;=4,SUM(LER_01!$M$26:$M$27)))),3),""))</f>
        <v/>
      </c>
      <c r="AK88" s="91" t="str">
        <f>IF(P88="","",IF(OR(P88="SOV",P88="SOB",P88="G0T",P88="G0B"),"",IF(AND(OR(P88="BSS",P88="BFS"),LER_01!$D$10&lt;=2),15%,IF(AND(OR(P88="BSN",P88="BFN"),LER_01!$D$10&gt;=4),100%,25%))))</f>
        <v/>
      </c>
      <c r="AL88" s="77"/>
      <c r="AM88" s="78"/>
      <c r="AN88" s="78"/>
      <c r="AO88" s="79"/>
      <c r="AP88" s="94"/>
      <c r="AQ88" s="31"/>
      <c r="AR88" s="20"/>
      <c r="AS88" s="32" t="str">
        <f t="shared" si="12"/>
        <v/>
      </c>
      <c r="AT88" s="32" t="str">
        <f t="shared" si="13"/>
        <v/>
      </c>
      <c r="AU88" s="32" t="str">
        <f t="shared" si="14"/>
        <v/>
      </c>
      <c r="AV88" s="32" t="str">
        <f t="shared" si="15"/>
        <v/>
      </c>
      <c r="AW88" s="32" t="str">
        <f t="shared" si="16"/>
        <v/>
      </c>
      <c r="AX88" s="32" t="str">
        <f t="shared" si="17"/>
        <v/>
      </c>
      <c r="AY88" s="32" t="str">
        <f t="shared" si="18"/>
        <v/>
      </c>
      <c r="AZ88" s="32" t="str">
        <f t="shared" si="19"/>
        <v/>
      </c>
      <c r="BA88" s="32" t="str">
        <f t="shared" si="20"/>
        <v/>
      </c>
      <c r="BB88" s="32" t="str">
        <f t="shared" si="21"/>
        <v/>
      </c>
      <c r="BC88" s="32" t="str">
        <f>IF(ISBLANK(O88),"",IF(ISBLANK(AO88),"",IF(AO88&gt;='Delivery Note'!$H$5,IF(AO88&lt;='Delivery Note'!$H$5+92,"","ERROR"),"ERROR")))</f>
        <v/>
      </c>
      <c r="BD88" s="32" t="str">
        <f t="shared" si="22"/>
        <v/>
      </c>
      <c r="BE88" s="32" t="str">
        <f t="shared" si="23"/>
        <v/>
      </c>
    </row>
    <row r="89" spans="2:57" x14ac:dyDescent="0.2">
      <c r="B89" s="20"/>
      <c r="C89" s="53"/>
      <c r="E89" s="31">
        <v>89</v>
      </c>
      <c r="F89" s="47"/>
      <c r="G89" s="47"/>
      <c r="H89" s="47"/>
      <c r="I89" s="47"/>
      <c r="J89" s="76"/>
      <c r="K89" s="93"/>
      <c r="L89" s="86"/>
      <c r="M89" s="86"/>
      <c r="N89" s="86"/>
      <c r="O89" s="86"/>
      <c r="P89" s="86"/>
      <c r="Q89" s="86"/>
      <c r="R89" s="86"/>
      <c r="S89" s="86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78"/>
      <c r="AE89" s="78"/>
      <c r="AF89" s="78"/>
      <c r="AG89" s="88"/>
      <c r="AH89" s="78"/>
      <c r="AI89" s="78"/>
      <c r="AJ89" s="95" t="str">
        <f>IF(P89="","",IFERROR(ROUND(IF(OR(P89="G0B",P89="G0T"),Tabelle5[[#This Row],[AI]]/SUM(LER_01!$L$26:$L$27),Tabelle5[[#This Row],[AI]]/(SUM(LER_01!$K$26:$K$27)+IF(LER_01!$D$10&gt;=4,SUM(LER_01!$M$26:$M$27)))),3),""))</f>
        <v/>
      </c>
      <c r="AK89" s="91" t="str">
        <f>IF(P89="","",IF(OR(P89="SOV",P89="SOB",P89="G0T",P89="G0B"),"",IF(AND(OR(P89="BSS",P89="BFS"),LER_01!$D$10&lt;=2),15%,IF(AND(OR(P89="BSN",P89="BFN"),LER_01!$D$10&gt;=4),100%,25%))))</f>
        <v/>
      </c>
      <c r="AL89" s="77"/>
      <c r="AM89" s="78"/>
      <c r="AN89" s="78"/>
      <c r="AO89" s="79"/>
      <c r="AP89" s="94"/>
      <c r="AQ89" s="31"/>
      <c r="AR89" s="20"/>
      <c r="AS89" s="32" t="str">
        <f t="shared" si="12"/>
        <v/>
      </c>
      <c r="AT89" s="32" t="str">
        <f t="shared" si="13"/>
        <v/>
      </c>
      <c r="AU89" s="32" t="str">
        <f t="shared" si="14"/>
        <v/>
      </c>
      <c r="AV89" s="32" t="str">
        <f t="shared" si="15"/>
        <v/>
      </c>
      <c r="AW89" s="32" t="str">
        <f t="shared" si="16"/>
        <v/>
      </c>
      <c r="AX89" s="32" t="str">
        <f t="shared" si="17"/>
        <v/>
      </c>
      <c r="AY89" s="32" t="str">
        <f t="shared" si="18"/>
        <v/>
      </c>
      <c r="AZ89" s="32" t="str">
        <f t="shared" si="19"/>
        <v/>
      </c>
      <c r="BA89" s="32" t="str">
        <f t="shared" si="20"/>
        <v/>
      </c>
      <c r="BB89" s="32" t="str">
        <f t="shared" si="21"/>
        <v/>
      </c>
      <c r="BC89" s="32" t="str">
        <f>IF(ISBLANK(O89),"",IF(ISBLANK(AO89),"",IF(AO89&gt;='Delivery Note'!$H$5,IF(AO89&lt;='Delivery Note'!$H$5+92,"","ERROR"),"ERROR")))</f>
        <v/>
      </c>
      <c r="BD89" s="32" t="str">
        <f t="shared" si="22"/>
        <v/>
      </c>
      <c r="BE89" s="32" t="str">
        <f t="shared" si="23"/>
        <v/>
      </c>
    </row>
    <row r="90" spans="2:57" x14ac:dyDescent="0.2">
      <c r="B90" s="20"/>
      <c r="C90" s="53"/>
      <c r="E90" s="31">
        <v>90</v>
      </c>
      <c r="F90" s="47"/>
      <c r="G90" s="47"/>
      <c r="H90" s="47"/>
      <c r="I90" s="47"/>
      <c r="J90" s="76"/>
      <c r="K90" s="93"/>
      <c r="L90" s="86"/>
      <c r="M90" s="86"/>
      <c r="N90" s="86"/>
      <c r="O90" s="86"/>
      <c r="P90" s="86"/>
      <c r="Q90" s="86"/>
      <c r="R90" s="86"/>
      <c r="S90" s="86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78"/>
      <c r="AE90" s="78"/>
      <c r="AF90" s="78"/>
      <c r="AG90" s="88"/>
      <c r="AH90" s="78"/>
      <c r="AI90" s="78"/>
      <c r="AJ90" s="95" t="str">
        <f>IF(P90="","",IFERROR(ROUND(IF(OR(P90="G0B",P90="G0T"),Tabelle5[[#This Row],[AI]]/SUM(LER_01!$L$26:$L$27),Tabelle5[[#This Row],[AI]]/(SUM(LER_01!$K$26:$K$27)+IF(LER_01!$D$10&gt;=4,SUM(LER_01!$M$26:$M$27)))),3),""))</f>
        <v/>
      </c>
      <c r="AK90" s="91" t="str">
        <f>IF(P90="","",IF(OR(P90="SOV",P90="SOB",P90="G0T",P90="G0B"),"",IF(AND(OR(P90="BSS",P90="BFS"),LER_01!$D$10&lt;=2),15%,IF(AND(OR(P90="BSN",P90="BFN"),LER_01!$D$10&gt;=4),100%,25%))))</f>
        <v/>
      </c>
      <c r="AL90" s="77"/>
      <c r="AM90" s="78"/>
      <c r="AN90" s="78"/>
      <c r="AO90" s="79"/>
      <c r="AP90" s="94"/>
      <c r="AQ90" s="31"/>
      <c r="AR90" s="20"/>
      <c r="AS90" s="32" t="str">
        <f t="shared" si="12"/>
        <v/>
      </c>
      <c r="AT90" s="32" t="str">
        <f t="shared" si="13"/>
        <v/>
      </c>
      <c r="AU90" s="32" t="str">
        <f t="shared" si="14"/>
        <v/>
      </c>
      <c r="AV90" s="32" t="str">
        <f t="shared" si="15"/>
        <v/>
      </c>
      <c r="AW90" s="32" t="str">
        <f t="shared" si="16"/>
        <v/>
      </c>
      <c r="AX90" s="32" t="str">
        <f t="shared" si="17"/>
        <v/>
      </c>
      <c r="AY90" s="32" t="str">
        <f t="shared" si="18"/>
        <v/>
      </c>
      <c r="AZ90" s="32" t="str">
        <f t="shared" si="19"/>
        <v/>
      </c>
      <c r="BA90" s="32" t="str">
        <f t="shared" si="20"/>
        <v/>
      </c>
      <c r="BB90" s="32" t="str">
        <f t="shared" si="21"/>
        <v/>
      </c>
      <c r="BC90" s="32" t="str">
        <f>IF(ISBLANK(O90),"",IF(ISBLANK(AO90),"",IF(AO90&gt;='Delivery Note'!$H$5,IF(AO90&lt;='Delivery Note'!$H$5+92,"","ERROR"),"ERROR")))</f>
        <v/>
      </c>
      <c r="BD90" s="32" t="str">
        <f t="shared" si="22"/>
        <v/>
      </c>
      <c r="BE90" s="32" t="str">
        <f t="shared" si="23"/>
        <v/>
      </c>
    </row>
    <row r="91" spans="2:57" x14ac:dyDescent="0.2">
      <c r="B91" s="20"/>
      <c r="C91" s="53"/>
      <c r="E91" s="31">
        <v>91</v>
      </c>
      <c r="F91" s="47"/>
      <c r="G91" s="47"/>
      <c r="H91" s="47"/>
      <c r="I91" s="47"/>
      <c r="J91" s="76"/>
      <c r="K91" s="93"/>
      <c r="L91" s="86"/>
      <c r="M91" s="86"/>
      <c r="N91" s="86"/>
      <c r="O91" s="86"/>
      <c r="P91" s="86"/>
      <c r="Q91" s="86"/>
      <c r="R91" s="86"/>
      <c r="S91" s="86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78"/>
      <c r="AE91" s="78"/>
      <c r="AF91" s="78"/>
      <c r="AG91" s="88"/>
      <c r="AH91" s="78"/>
      <c r="AI91" s="78"/>
      <c r="AJ91" s="95" t="str">
        <f>IF(P91="","",IFERROR(ROUND(IF(OR(P91="G0B",P91="G0T"),Tabelle5[[#This Row],[AI]]/SUM(LER_01!$L$26:$L$27),Tabelle5[[#This Row],[AI]]/(SUM(LER_01!$K$26:$K$27)+IF(LER_01!$D$10&gt;=4,SUM(LER_01!$M$26:$M$27)))),3),""))</f>
        <v/>
      </c>
      <c r="AK91" s="91" t="str">
        <f>IF(P91="","",IF(OR(P91="SOV",P91="SOB",P91="G0T",P91="G0B"),"",IF(AND(OR(P91="BSS",P91="BFS"),LER_01!$D$10&lt;=2),15%,IF(AND(OR(P91="BSN",P91="BFN"),LER_01!$D$10&gt;=4),100%,25%))))</f>
        <v/>
      </c>
      <c r="AL91" s="77"/>
      <c r="AM91" s="78"/>
      <c r="AN91" s="78"/>
      <c r="AO91" s="79"/>
      <c r="AP91" s="94"/>
      <c r="AQ91" s="31"/>
      <c r="AR91" s="20"/>
      <c r="AS91" s="32" t="str">
        <f t="shared" si="12"/>
        <v/>
      </c>
      <c r="AT91" s="32" t="str">
        <f t="shared" si="13"/>
        <v/>
      </c>
      <c r="AU91" s="32" t="str">
        <f t="shared" si="14"/>
        <v/>
      </c>
      <c r="AV91" s="32" t="str">
        <f t="shared" si="15"/>
        <v/>
      </c>
      <c r="AW91" s="32" t="str">
        <f t="shared" si="16"/>
        <v/>
      </c>
      <c r="AX91" s="32" t="str">
        <f t="shared" si="17"/>
        <v/>
      </c>
      <c r="AY91" s="32" t="str">
        <f t="shared" si="18"/>
        <v/>
      </c>
      <c r="AZ91" s="32" t="str">
        <f t="shared" si="19"/>
        <v/>
      </c>
      <c r="BA91" s="32" t="str">
        <f t="shared" si="20"/>
        <v/>
      </c>
      <c r="BB91" s="32" t="str">
        <f t="shared" si="21"/>
        <v/>
      </c>
      <c r="BC91" s="32" t="str">
        <f>IF(ISBLANK(O91),"",IF(ISBLANK(AO91),"",IF(AO91&gt;='Delivery Note'!$H$5,IF(AO91&lt;='Delivery Note'!$H$5+92,"","ERROR"),"ERROR")))</f>
        <v/>
      </c>
      <c r="BD91" s="32" t="str">
        <f t="shared" si="22"/>
        <v/>
      </c>
      <c r="BE91" s="32" t="str">
        <f t="shared" si="23"/>
        <v/>
      </c>
    </row>
    <row r="92" spans="2:57" x14ac:dyDescent="0.2">
      <c r="B92" s="20"/>
      <c r="C92" s="53"/>
      <c r="E92" s="31">
        <v>92</v>
      </c>
      <c r="F92" s="47"/>
      <c r="G92" s="47"/>
      <c r="H92" s="47"/>
      <c r="I92" s="47"/>
      <c r="J92" s="76"/>
      <c r="K92" s="93"/>
      <c r="L92" s="86"/>
      <c r="M92" s="86"/>
      <c r="N92" s="86"/>
      <c r="O92" s="86"/>
      <c r="P92" s="86"/>
      <c r="Q92" s="86"/>
      <c r="R92" s="86"/>
      <c r="S92" s="86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78"/>
      <c r="AE92" s="78"/>
      <c r="AF92" s="78"/>
      <c r="AG92" s="88"/>
      <c r="AH92" s="78"/>
      <c r="AI92" s="78"/>
      <c r="AJ92" s="95" t="str">
        <f>IF(P92="","",IFERROR(ROUND(IF(OR(P92="G0B",P92="G0T"),Tabelle5[[#This Row],[AI]]/SUM(LER_01!$L$26:$L$27),Tabelle5[[#This Row],[AI]]/(SUM(LER_01!$K$26:$K$27)+IF(LER_01!$D$10&gt;=4,SUM(LER_01!$M$26:$M$27)))),3),""))</f>
        <v/>
      </c>
      <c r="AK92" s="91" t="str">
        <f>IF(P92="","",IF(OR(P92="SOV",P92="SOB",P92="G0T",P92="G0B"),"",IF(AND(OR(P92="BSS",P92="BFS"),LER_01!$D$10&lt;=2),15%,IF(AND(OR(P92="BSN",P92="BFN"),LER_01!$D$10&gt;=4),100%,25%))))</f>
        <v/>
      </c>
      <c r="AL92" s="77"/>
      <c r="AM92" s="78"/>
      <c r="AN92" s="78"/>
      <c r="AO92" s="79"/>
      <c r="AP92" s="94"/>
      <c r="AQ92" s="31"/>
      <c r="AR92" s="20"/>
      <c r="AS92" s="32" t="str">
        <f t="shared" si="12"/>
        <v/>
      </c>
      <c r="AT92" s="32" t="str">
        <f t="shared" si="13"/>
        <v/>
      </c>
      <c r="AU92" s="32" t="str">
        <f t="shared" si="14"/>
        <v/>
      </c>
      <c r="AV92" s="32" t="str">
        <f t="shared" si="15"/>
        <v/>
      </c>
      <c r="AW92" s="32" t="str">
        <f t="shared" si="16"/>
        <v/>
      </c>
      <c r="AX92" s="32" t="str">
        <f t="shared" si="17"/>
        <v/>
      </c>
      <c r="AY92" s="32" t="str">
        <f t="shared" si="18"/>
        <v/>
      </c>
      <c r="AZ92" s="32" t="str">
        <f t="shared" si="19"/>
        <v/>
      </c>
      <c r="BA92" s="32" t="str">
        <f t="shared" si="20"/>
        <v/>
      </c>
      <c r="BB92" s="32" t="str">
        <f t="shared" si="21"/>
        <v/>
      </c>
      <c r="BC92" s="32" t="str">
        <f>IF(ISBLANK(O92),"",IF(ISBLANK(AO92),"",IF(AO92&gt;='Delivery Note'!$H$5,IF(AO92&lt;='Delivery Note'!$H$5+92,"","ERROR"),"ERROR")))</f>
        <v/>
      </c>
      <c r="BD92" s="32" t="str">
        <f t="shared" si="22"/>
        <v/>
      </c>
      <c r="BE92" s="32" t="str">
        <f t="shared" si="23"/>
        <v/>
      </c>
    </row>
    <row r="93" spans="2:57" x14ac:dyDescent="0.2">
      <c r="B93" s="20"/>
      <c r="C93" s="53"/>
      <c r="E93" s="31">
        <v>93</v>
      </c>
      <c r="F93" s="47"/>
      <c r="G93" s="47"/>
      <c r="H93" s="47"/>
      <c r="I93" s="47"/>
      <c r="J93" s="76"/>
      <c r="K93" s="93"/>
      <c r="L93" s="86"/>
      <c r="M93" s="86"/>
      <c r="N93" s="86"/>
      <c r="O93" s="86"/>
      <c r="P93" s="86"/>
      <c r="Q93" s="86"/>
      <c r="R93" s="86"/>
      <c r="S93" s="86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78"/>
      <c r="AE93" s="78"/>
      <c r="AF93" s="78"/>
      <c r="AG93" s="88"/>
      <c r="AH93" s="78"/>
      <c r="AI93" s="78"/>
      <c r="AJ93" s="95" t="str">
        <f>IF(P93="","",IFERROR(ROUND(IF(OR(P93="G0B",P93="G0T"),Tabelle5[[#This Row],[AI]]/SUM(LER_01!$L$26:$L$27),Tabelle5[[#This Row],[AI]]/(SUM(LER_01!$K$26:$K$27)+IF(LER_01!$D$10&gt;=4,SUM(LER_01!$M$26:$M$27)))),3),""))</f>
        <v/>
      </c>
      <c r="AK93" s="91" t="str">
        <f>IF(P93="","",IF(OR(P93="SOV",P93="SOB",P93="G0T",P93="G0B"),"",IF(AND(OR(P93="BSS",P93="BFS"),LER_01!$D$10&lt;=2),15%,IF(AND(OR(P93="BSN",P93="BFN"),LER_01!$D$10&gt;=4),100%,25%))))</f>
        <v/>
      </c>
      <c r="AL93" s="77"/>
      <c r="AM93" s="78"/>
      <c r="AN93" s="78"/>
      <c r="AO93" s="79"/>
      <c r="AP93" s="94"/>
      <c r="AQ93" s="31"/>
      <c r="AR93" s="20"/>
      <c r="AS93" s="32" t="str">
        <f t="shared" si="12"/>
        <v/>
      </c>
      <c r="AT93" s="32" t="str">
        <f t="shared" si="13"/>
        <v/>
      </c>
      <c r="AU93" s="32" t="str">
        <f t="shared" si="14"/>
        <v/>
      </c>
      <c r="AV93" s="32" t="str">
        <f t="shared" si="15"/>
        <v/>
      </c>
      <c r="AW93" s="32" t="str">
        <f t="shared" si="16"/>
        <v/>
      </c>
      <c r="AX93" s="32" t="str">
        <f t="shared" si="17"/>
        <v/>
      </c>
      <c r="AY93" s="32" t="str">
        <f t="shared" si="18"/>
        <v/>
      </c>
      <c r="AZ93" s="32" t="str">
        <f t="shared" si="19"/>
        <v/>
      </c>
      <c r="BA93" s="32" t="str">
        <f t="shared" si="20"/>
        <v/>
      </c>
      <c r="BB93" s="32" t="str">
        <f t="shared" si="21"/>
        <v/>
      </c>
      <c r="BC93" s="32" t="str">
        <f>IF(ISBLANK(O93),"",IF(ISBLANK(AO93),"",IF(AO93&gt;='Delivery Note'!$H$5,IF(AO93&lt;='Delivery Note'!$H$5+92,"","ERROR"),"ERROR")))</f>
        <v/>
      </c>
      <c r="BD93" s="32" t="str">
        <f t="shared" si="22"/>
        <v/>
      </c>
      <c r="BE93" s="32" t="str">
        <f t="shared" si="23"/>
        <v/>
      </c>
    </row>
    <row r="94" spans="2:57" x14ac:dyDescent="0.2">
      <c r="B94" s="20"/>
      <c r="C94" s="53"/>
      <c r="E94" s="31">
        <v>94</v>
      </c>
      <c r="F94" s="47"/>
      <c r="G94" s="47"/>
      <c r="H94" s="47"/>
      <c r="I94" s="47"/>
      <c r="J94" s="76"/>
      <c r="K94" s="93"/>
      <c r="L94" s="86"/>
      <c r="M94" s="86"/>
      <c r="N94" s="86"/>
      <c r="O94" s="86"/>
      <c r="P94" s="86"/>
      <c r="Q94" s="86"/>
      <c r="R94" s="86"/>
      <c r="S94" s="86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78"/>
      <c r="AE94" s="78"/>
      <c r="AF94" s="78"/>
      <c r="AG94" s="88"/>
      <c r="AH94" s="78"/>
      <c r="AI94" s="78"/>
      <c r="AJ94" s="95" t="str">
        <f>IF(P94="","",IFERROR(ROUND(IF(OR(P94="G0B",P94="G0T"),Tabelle5[[#This Row],[AI]]/SUM(LER_01!$L$26:$L$27),Tabelle5[[#This Row],[AI]]/(SUM(LER_01!$K$26:$K$27)+IF(LER_01!$D$10&gt;=4,SUM(LER_01!$M$26:$M$27)))),3),""))</f>
        <v/>
      </c>
      <c r="AK94" s="91" t="str">
        <f>IF(P94="","",IF(OR(P94="SOV",P94="SOB",P94="G0T",P94="G0B"),"",IF(AND(OR(P94="BSS",P94="BFS"),LER_01!$D$10&lt;=2),15%,IF(AND(OR(P94="BSN",P94="BFN"),LER_01!$D$10&gt;=4),100%,25%))))</f>
        <v/>
      </c>
      <c r="AL94" s="77"/>
      <c r="AM94" s="78"/>
      <c r="AN94" s="78"/>
      <c r="AO94" s="79"/>
      <c r="AP94" s="94"/>
      <c r="AQ94" s="31"/>
      <c r="AR94" s="20"/>
      <c r="AS94" s="32" t="str">
        <f t="shared" si="12"/>
        <v/>
      </c>
      <c r="AT94" s="32" t="str">
        <f t="shared" si="13"/>
        <v/>
      </c>
      <c r="AU94" s="32" t="str">
        <f t="shared" si="14"/>
        <v/>
      </c>
      <c r="AV94" s="32" t="str">
        <f t="shared" si="15"/>
        <v/>
      </c>
      <c r="AW94" s="32" t="str">
        <f t="shared" si="16"/>
        <v/>
      </c>
      <c r="AX94" s="32" t="str">
        <f t="shared" si="17"/>
        <v/>
      </c>
      <c r="AY94" s="32" t="str">
        <f t="shared" si="18"/>
        <v/>
      </c>
      <c r="AZ94" s="32" t="str">
        <f t="shared" si="19"/>
        <v/>
      </c>
      <c r="BA94" s="32" t="str">
        <f t="shared" si="20"/>
        <v/>
      </c>
      <c r="BB94" s="32" t="str">
        <f t="shared" si="21"/>
        <v/>
      </c>
      <c r="BC94" s="32" t="str">
        <f>IF(ISBLANK(O94),"",IF(ISBLANK(AO94),"",IF(AO94&gt;='Delivery Note'!$H$5,IF(AO94&lt;='Delivery Note'!$H$5+92,"","ERROR"),"ERROR")))</f>
        <v/>
      </c>
      <c r="BD94" s="32" t="str">
        <f t="shared" si="22"/>
        <v/>
      </c>
      <c r="BE94" s="32" t="str">
        <f t="shared" si="23"/>
        <v/>
      </c>
    </row>
    <row r="95" spans="2:57" x14ac:dyDescent="0.2">
      <c r="B95" s="20"/>
      <c r="C95" s="53"/>
      <c r="E95" s="31">
        <v>95</v>
      </c>
      <c r="F95" s="47"/>
      <c r="G95" s="47"/>
      <c r="H95" s="47"/>
      <c r="I95" s="47"/>
      <c r="J95" s="76"/>
      <c r="K95" s="93"/>
      <c r="L95" s="86"/>
      <c r="M95" s="86"/>
      <c r="N95" s="86"/>
      <c r="O95" s="86"/>
      <c r="P95" s="86"/>
      <c r="Q95" s="86"/>
      <c r="R95" s="86"/>
      <c r="S95" s="86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78"/>
      <c r="AE95" s="78"/>
      <c r="AF95" s="78"/>
      <c r="AG95" s="88"/>
      <c r="AH95" s="78"/>
      <c r="AI95" s="78"/>
      <c r="AJ95" s="95" t="str">
        <f>IF(P95="","",IFERROR(ROUND(IF(OR(P95="G0B",P95="G0T"),Tabelle5[[#This Row],[AI]]/SUM(LER_01!$L$26:$L$27),Tabelle5[[#This Row],[AI]]/(SUM(LER_01!$K$26:$K$27)+IF(LER_01!$D$10&gt;=4,SUM(LER_01!$M$26:$M$27)))),3),""))</f>
        <v/>
      </c>
      <c r="AK95" s="91" t="str">
        <f>IF(P95="","",IF(OR(P95="SOV",P95="SOB",P95="G0T",P95="G0B"),"",IF(AND(OR(P95="BSS",P95="BFS"),LER_01!$D$10&lt;=2),15%,IF(AND(OR(P95="BSN",P95="BFN"),LER_01!$D$10&gt;=4),100%,25%))))</f>
        <v/>
      </c>
      <c r="AL95" s="77"/>
      <c r="AM95" s="78"/>
      <c r="AN95" s="78"/>
      <c r="AO95" s="79"/>
      <c r="AP95" s="94"/>
      <c r="AQ95" s="31"/>
      <c r="AR95" s="20"/>
      <c r="AS95" s="32" t="str">
        <f t="shared" si="12"/>
        <v/>
      </c>
      <c r="AT95" s="32" t="str">
        <f t="shared" si="13"/>
        <v/>
      </c>
      <c r="AU95" s="32" t="str">
        <f t="shared" si="14"/>
        <v/>
      </c>
      <c r="AV95" s="32" t="str">
        <f t="shared" si="15"/>
        <v/>
      </c>
      <c r="AW95" s="32" t="str">
        <f t="shared" si="16"/>
        <v/>
      </c>
      <c r="AX95" s="32" t="str">
        <f t="shared" si="17"/>
        <v/>
      </c>
      <c r="AY95" s="32" t="str">
        <f t="shared" si="18"/>
        <v/>
      </c>
      <c r="AZ95" s="32" t="str">
        <f t="shared" si="19"/>
        <v/>
      </c>
      <c r="BA95" s="32" t="str">
        <f t="shared" si="20"/>
        <v/>
      </c>
      <c r="BB95" s="32" t="str">
        <f t="shared" si="21"/>
        <v/>
      </c>
      <c r="BC95" s="32" t="str">
        <f>IF(ISBLANK(O95),"",IF(ISBLANK(AO95),"",IF(AO95&gt;='Delivery Note'!$H$5,IF(AO95&lt;='Delivery Note'!$H$5+92,"","ERROR"),"ERROR")))</f>
        <v/>
      </c>
      <c r="BD95" s="32" t="str">
        <f t="shared" si="22"/>
        <v/>
      </c>
      <c r="BE95" s="32" t="str">
        <f t="shared" si="23"/>
        <v/>
      </c>
    </row>
    <row r="96" spans="2:57" x14ac:dyDescent="0.2">
      <c r="B96" s="20"/>
      <c r="C96" s="53"/>
      <c r="E96" s="31">
        <v>96</v>
      </c>
      <c r="F96" s="47"/>
      <c r="G96" s="47"/>
      <c r="H96" s="47"/>
      <c r="I96" s="47"/>
      <c r="J96" s="76"/>
      <c r="K96" s="93"/>
      <c r="L96" s="86"/>
      <c r="M96" s="86"/>
      <c r="N96" s="86"/>
      <c r="O96" s="86"/>
      <c r="P96" s="86"/>
      <c r="Q96" s="86"/>
      <c r="R96" s="86"/>
      <c r="S96" s="86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78"/>
      <c r="AE96" s="78"/>
      <c r="AF96" s="78"/>
      <c r="AG96" s="88"/>
      <c r="AH96" s="78"/>
      <c r="AI96" s="78"/>
      <c r="AJ96" s="95" t="str">
        <f>IF(P96="","",IFERROR(ROUND(IF(OR(P96="G0B",P96="G0T"),Tabelle5[[#This Row],[AI]]/SUM(LER_01!$L$26:$L$27),Tabelle5[[#This Row],[AI]]/(SUM(LER_01!$K$26:$K$27)+IF(LER_01!$D$10&gt;=4,SUM(LER_01!$M$26:$M$27)))),3),""))</f>
        <v/>
      </c>
      <c r="AK96" s="91" t="str">
        <f>IF(P96="","",IF(OR(P96="SOV",P96="SOB",P96="G0T",P96="G0B"),"",IF(AND(OR(P96="BSS",P96="BFS"),LER_01!$D$10&lt;=2),15%,IF(AND(OR(P96="BSN",P96="BFN"),LER_01!$D$10&gt;=4),100%,25%))))</f>
        <v/>
      </c>
      <c r="AL96" s="77"/>
      <c r="AM96" s="78"/>
      <c r="AN96" s="78"/>
      <c r="AO96" s="79"/>
      <c r="AP96" s="94"/>
      <c r="AQ96" s="31"/>
      <c r="AR96" s="20"/>
      <c r="AS96" s="32" t="str">
        <f t="shared" si="12"/>
        <v/>
      </c>
      <c r="AT96" s="32" t="str">
        <f t="shared" si="13"/>
        <v/>
      </c>
      <c r="AU96" s="32" t="str">
        <f t="shared" si="14"/>
        <v/>
      </c>
      <c r="AV96" s="32" t="str">
        <f t="shared" si="15"/>
        <v/>
      </c>
      <c r="AW96" s="32" t="str">
        <f t="shared" si="16"/>
        <v/>
      </c>
      <c r="AX96" s="32" t="str">
        <f t="shared" si="17"/>
        <v/>
      </c>
      <c r="AY96" s="32" t="str">
        <f t="shared" si="18"/>
        <v/>
      </c>
      <c r="AZ96" s="32" t="str">
        <f t="shared" si="19"/>
        <v/>
      </c>
      <c r="BA96" s="32" t="str">
        <f t="shared" si="20"/>
        <v/>
      </c>
      <c r="BB96" s="32" t="str">
        <f t="shared" si="21"/>
        <v/>
      </c>
      <c r="BC96" s="32" t="str">
        <f>IF(ISBLANK(O96),"",IF(ISBLANK(AO96),"",IF(AO96&gt;='Delivery Note'!$H$5,IF(AO96&lt;='Delivery Note'!$H$5+92,"","ERROR"),"ERROR")))</f>
        <v/>
      </c>
      <c r="BD96" s="32" t="str">
        <f t="shared" si="22"/>
        <v/>
      </c>
      <c r="BE96" s="32" t="str">
        <f t="shared" si="23"/>
        <v/>
      </c>
    </row>
    <row r="97" spans="2:57" x14ac:dyDescent="0.2">
      <c r="B97" s="20"/>
      <c r="C97" s="53"/>
      <c r="E97" s="31">
        <v>97</v>
      </c>
      <c r="F97" s="47"/>
      <c r="G97" s="47"/>
      <c r="H97" s="47"/>
      <c r="I97" s="47"/>
      <c r="J97" s="76"/>
      <c r="K97" s="93"/>
      <c r="L97" s="86"/>
      <c r="M97" s="86"/>
      <c r="N97" s="86"/>
      <c r="O97" s="86"/>
      <c r="P97" s="86"/>
      <c r="Q97" s="86"/>
      <c r="R97" s="86"/>
      <c r="S97" s="86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78"/>
      <c r="AE97" s="78"/>
      <c r="AF97" s="78"/>
      <c r="AG97" s="88"/>
      <c r="AH97" s="78"/>
      <c r="AI97" s="78"/>
      <c r="AJ97" s="95" t="str">
        <f>IF(P97="","",IFERROR(ROUND(IF(OR(P97="G0B",P97="G0T"),Tabelle5[[#This Row],[AI]]/SUM(LER_01!$L$26:$L$27),Tabelle5[[#This Row],[AI]]/(SUM(LER_01!$K$26:$K$27)+IF(LER_01!$D$10&gt;=4,SUM(LER_01!$M$26:$M$27)))),3),""))</f>
        <v/>
      </c>
      <c r="AK97" s="91" t="str">
        <f>IF(P97="","",IF(OR(P97="SOV",P97="SOB",P97="G0T",P97="G0B"),"",IF(AND(OR(P97="BSS",P97="BFS"),LER_01!$D$10&lt;=2),15%,IF(AND(OR(P97="BSN",P97="BFN"),LER_01!$D$10&gt;=4),100%,25%))))</f>
        <v/>
      </c>
      <c r="AL97" s="77"/>
      <c r="AM97" s="78"/>
      <c r="AN97" s="78"/>
      <c r="AO97" s="79"/>
      <c r="AP97" s="94"/>
      <c r="AQ97" s="31"/>
      <c r="AR97" s="20"/>
      <c r="AS97" s="32" t="str">
        <f t="shared" si="12"/>
        <v/>
      </c>
      <c r="AT97" s="32" t="str">
        <f t="shared" si="13"/>
        <v/>
      </c>
      <c r="AU97" s="32" t="str">
        <f t="shared" si="14"/>
        <v/>
      </c>
      <c r="AV97" s="32" t="str">
        <f t="shared" si="15"/>
        <v/>
      </c>
      <c r="AW97" s="32" t="str">
        <f t="shared" si="16"/>
        <v/>
      </c>
      <c r="AX97" s="32" t="str">
        <f t="shared" si="17"/>
        <v/>
      </c>
      <c r="AY97" s="32" t="str">
        <f t="shared" si="18"/>
        <v/>
      </c>
      <c r="AZ97" s="32" t="str">
        <f t="shared" si="19"/>
        <v/>
      </c>
      <c r="BA97" s="32" t="str">
        <f t="shared" si="20"/>
        <v/>
      </c>
      <c r="BB97" s="32" t="str">
        <f t="shared" si="21"/>
        <v/>
      </c>
      <c r="BC97" s="32" t="str">
        <f>IF(ISBLANK(O97),"",IF(ISBLANK(AO97),"",IF(AO97&gt;='Delivery Note'!$H$5,IF(AO97&lt;='Delivery Note'!$H$5+92,"","ERROR"),"ERROR")))</f>
        <v/>
      </c>
      <c r="BD97" s="32" t="str">
        <f t="shared" si="22"/>
        <v/>
      </c>
      <c r="BE97" s="32" t="str">
        <f t="shared" si="23"/>
        <v/>
      </c>
    </row>
    <row r="98" spans="2:57" x14ac:dyDescent="0.2">
      <c r="B98" s="20"/>
      <c r="C98" s="53"/>
      <c r="E98" s="31">
        <v>98</v>
      </c>
      <c r="F98" s="47"/>
      <c r="G98" s="47"/>
      <c r="H98" s="47"/>
      <c r="I98" s="47"/>
      <c r="J98" s="76"/>
      <c r="K98" s="93"/>
      <c r="L98" s="86"/>
      <c r="M98" s="86"/>
      <c r="N98" s="86"/>
      <c r="O98" s="86"/>
      <c r="P98" s="86"/>
      <c r="Q98" s="86"/>
      <c r="R98" s="86"/>
      <c r="S98" s="86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78"/>
      <c r="AE98" s="78"/>
      <c r="AF98" s="78"/>
      <c r="AG98" s="88"/>
      <c r="AH98" s="78"/>
      <c r="AI98" s="78"/>
      <c r="AJ98" s="95" t="str">
        <f>IF(P98="","",IFERROR(ROUND(IF(OR(P98="G0B",P98="G0T"),Tabelle5[[#This Row],[AI]]/SUM(LER_01!$L$26:$L$27),Tabelle5[[#This Row],[AI]]/(SUM(LER_01!$K$26:$K$27)+IF(LER_01!$D$10&gt;=4,SUM(LER_01!$M$26:$M$27)))),3),""))</f>
        <v/>
      </c>
      <c r="AK98" s="91" t="str">
        <f>IF(P98="","",IF(OR(P98="SOV",P98="SOB",P98="G0T",P98="G0B"),"",IF(AND(OR(P98="BSS",P98="BFS"),LER_01!$D$10&lt;=2),15%,IF(AND(OR(P98="BSN",P98="BFN"),LER_01!$D$10&gt;=4),100%,25%))))</f>
        <v/>
      </c>
      <c r="AL98" s="77"/>
      <c r="AM98" s="78"/>
      <c r="AN98" s="78"/>
      <c r="AO98" s="79"/>
      <c r="AP98" s="94"/>
      <c r="AQ98" s="31"/>
      <c r="AR98" s="20"/>
      <c r="AS98" s="32" t="str">
        <f t="shared" si="12"/>
        <v/>
      </c>
      <c r="AT98" s="32" t="str">
        <f t="shared" si="13"/>
        <v/>
      </c>
      <c r="AU98" s="32" t="str">
        <f t="shared" si="14"/>
        <v/>
      </c>
      <c r="AV98" s="32" t="str">
        <f t="shared" si="15"/>
        <v/>
      </c>
      <c r="AW98" s="32" t="str">
        <f t="shared" si="16"/>
        <v/>
      </c>
      <c r="AX98" s="32" t="str">
        <f t="shared" si="17"/>
        <v/>
      </c>
      <c r="AY98" s="32" t="str">
        <f t="shared" si="18"/>
        <v/>
      </c>
      <c r="AZ98" s="32" t="str">
        <f t="shared" si="19"/>
        <v/>
      </c>
      <c r="BA98" s="32" t="str">
        <f t="shared" si="20"/>
        <v/>
      </c>
      <c r="BB98" s="32" t="str">
        <f t="shared" si="21"/>
        <v/>
      </c>
      <c r="BC98" s="32" t="str">
        <f>IF(ISBLANK(O98),"",IF(ISBLANK(AO98),"",IF(AO98&gt;='Delivery Note'!$H$5,IF(AO98&lt;='Delivery Note'!$H$5+92,"","ERROR"),"ERROR")))</f>
        <v/>
      </c>
      <c r="BD98" s="32" t="str">
        <f t="shared" si="22"/>
        <v/>
      </c>
      <c r="BE98" s="32" t="str">
        <f t="shared" si="23"/>
        <v/>
      </c>
    </row>
    <row r="99" spans="2:57" x14ac:dyDescent="0.2">
      <c r="B99" s="20"/>
      <c r="C99" s="53"/>
      <c r="E99" s="31">
        <v>99</v>
      </c>
      <c r="F99" s="47"/>
      <c r="G99" s="47"/>
      <c r="H99" s="47"/>
      <c r="I99" s="47"/>
      <c r="J99" s="76"/>
      <c r="K99" s="93"/>
      <c r="L99" s="86"/>
      <c r="M99" s="86"/>
      <c r="N99" s="86"/>
      <c r="O99" s="86"/>
      <c r="P99" s="86"/>
      <c r="Q99" s="86"/>
      <c r="R99" s="86"/>
      <c r="S99" s="86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78"/>
      <c r="AE99" s="78"/>
      <c r="AF99" s="78"/>
      <c r="AG99" s="88"/>
      <c r="AH99" s="78"/>
      <c r="AI99" s="78"/>
      <c r="AJ99" s="95" t="str">
        <f>IF(P99="","",IFERROR(ROUND(IF(OR(P99="G0B",P99="G0T"),Tabelle5[[#This Row],[AI]]/SUM(LER_01!$L$26:$L$27),Tabelle5[[#This Row],[AI]]/(SUM(LER_01!$K$26:$K$27)+IF(LER_01!$D$10&gt;=4,SUM(LER_01!$M$26:$M$27)))),3),""))</f>
        <v/>
      </c>
      <c r="AK99" s="91" t="str">
        <f>IF(P99="","",IF(OR(P99="SOV",P99="SOB",P99="G0T",P99="G0B"),"",IF(AND(OR(P99="BSS",P99="BFS"),LER_01!$D$10&lt;=2),15%,IF(AND(OR(P99="BSN",P99="BFN"),LER_01!$D$10&gt;=4),100%,25%))))</f>
        <v/>
      </c>
      <c r="AL99" s="77"/>
      <c r="AM99" s="78"/>
      <c r="AN99" s="78"/>
      <c r="AO99" s="79"/>
      <c r="AP99" s="94"/>
      <c r="AQ99" s="31"/>
      <c r="AR99" s="20"/>
      <c r="AS99" s="32" t="str">
        <f t="shared" si="12"/>
        <v/>
      </c>
      <c r="AT99" s="32" t="str">
        <f t="shared" si="13"/>
        <v/>
      </c>
      <c r="AU99" s="32" t="str">
        <f t="shared" si="14"/>
        <v/>
      </c>
      <c r="AV99" s="32" t="str">
        <f t="shared" si="15"/>
        <v/>
      </c>
      <c r="AW99" s="32" t="str">
        <f t="shared" si="16"/>
        <v/>
      </c>
      <c r="AX99" s="32" t="str">
        <f t="shared" si="17"/>
        <v/>
      </c>
      <c r="AY99" s="32" t="str">
        <f t="shared" si="18"/>
        <v/>
      </c>
      <c r="AZ99" s="32" t="str">
        <f t="shared" si="19"/>
        <v/>
      </c>
      <c r="BA99" s="32" t="str">
        <f t="shared" si="20"/>
        <v/>
      </c>
      <c r="BB99" s="32" t="str">
        <f t="shared" si="21"/>
        <v/>
      </c>
      <c r="BC99" s="32" t="str">
        <f>IF(ISBLANK(O99),"",IF(ISBLANK(AO99),"",IF(AO99&gt;='Delivery Note'!$H$5,IF(AO99&lt;='Delivery Note'!$H$5+92,"","ERROR"),"ERROR")))</f>
        <v/>
      </c>
      <c r="BD99" s="32" t="str">
        <f t="shared" si="22"/>
        <v/>
      </c>
      <c r="BE99" s="32" t="str">
        <f t="shared" si="23"/>
        <v/>
      </c>
    </row>
    <row r="100" spans="2:57" x14ac:dyDescent="0.2">
      <c r="B100" s="20"/>
      <c r="C100" s="53"/>
      <c r="E100" s="31">
        <v>100</v>
      </c>
      <c r="F100" s="47"/>
      <c r="G100" s="47"/>
      <c r="H100" s="47"/>
      <c r="I100" s="47"/>
      <c r="J100" s="76"/>
      <c r="K100" s="93"/>
      <c r="L100" s="86"/>
      <c r="M100" s="86"/>
      <c r="N100" s="86"/>
      <c r="O100" s="86"/>
      <c r="P100" s="86"/>
      <c r="Q100" s="86"/>
      <c r="R100" s="86"/>
      <c r="S100" s="86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78"/>
      <c r="AE100" s="78"/>
      <c r="AF100" s="78"/>
      <c r="AG100" s="88"/>
      <c r="AH100" s="78"/>
      <c r="AI100" s="78"/>
      <c r="AJ100" s="95" t="str">
        <f>IF(P100="","",IFERROR(ROUND(IF(OR(P100="G0B",P100="G0T"),Tabelle5[[#This Row],[AI]]/SUM(LER_01!$L$26:$L$27),Tabelle5[[#This Row],[AI]]/(SUM(LER_01!$K$26:$K$27)+IF(LER_01!$D$10&gt;=4,SUM(LER_01!$M$26:$M$27)))),3),""))</f>
        <v/>
      </c>
      <c r="AK100" s="91" t="str">
        <f>IF(P100="","",IF(OR(P100="SOV",P100="SOB",P100="G0T",P100="G0B"),"",IF(AND(OR(P100="BSS",P100="BFS"),LER_01!$D$10&lt;=2),15%,IF(AND(OR(P100="BSN",P100="BFN"),LER_01!$D$10&gt;=4),100%,25%))))</f>
        <v/>
      </c>
      <c r="AL100" s="77"/>
      <c r="AM100" s="78"/>
      <c r="AN100" s="78"/>
      <c r="AO100" s="79"/>
      <c r="AP100" s="94"/>
      <c r="AQ100" s="31"/>
      <c r="AR100" s="20"/>
      <c r="AS100" s="32" t="str">
        <f t="shared" si="12"/>
        <v/>
      </c>
      <c r="AT100" s="32" t="str">
        <f t="shared" si="13"/>
        <v/>
      </c>
      <c r="AU100" s="32" t="str">
        <f t="shared" si="14"/>
        <v/>
      </c>
      <c r="AV100" s="32" t="str">
        <f t="shared" si="15"/>
        <v/>
      </c>
      <c r="AW100" s="32" t="str">
        <f t="shared" si="16"/>
        <v/>
      </c>
      <c r="AX100" s="32" t="str">
        <f t="shared" si="17"/>
        <v/>
      </c>
      <c r="AY100" s="32" t="str">
        <f t="shared" si="18"/>
        <v/>
      </c>
      <c r="AZ100" s="32" t="str">
        <f t="shared" si="19"/>
        <v/>
      </c>
      <c r="BA100" s="32" t="str">
        <f t="shared" si="20"/>
        <v/>
      </c>
      <c r="BB100" s="32" t="str">
        <f t="shared" si="21"/>
        <v/>
      </c>
      <c r="BC100" s="32" t="str">
        <f>IF(ISBLANK(O100),"",IF(ISBLANK(AO100),"",IF(AO100&gt;='Delivery Note'!$H$5,IF(AO100&lt;='Delivery Note'!$H$5+92,"","ERROR"),"ERROR")))</f>
        <v/>
      </c>
      <c r="BD100" s="32" t="str">
        <f t="shared" si="22"/>
        <v/>
      </c>
      <c r="BE100" s="32" t="str">
        <f t="shared" si="23"/>
        <v/>
      </c>
    </row>
    <row r="101" spans="2:57" x14ac:dyDescent="0.2">
      <c r="B101" s="20"/>
      <c r="C101" s="53"/>
      <c r="E101" s="31">
        <v>101</v>
      </c>
      <c r="F101" s="47"/>
      <c r="G101" s="47"/>
      <c r="H101" s="47"/>
      <c r="I101" s="47"/>
      <c r="J101" s="76"/>
      <c r="K101" s="93"/>
      <c r="L101" s="86"/>
      <c r="M101" s="86"/>
      <c r="N101" s="86"/>
      <c r="O101" s="86"/>
      <c r="P101" s="86"/>
      <c r="Q101" s="86"/>
      <c r="R101" s="86"/>
      <c r="S101" s="86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78"/>
      <c r="AE101" s="78"/>
      <c r="AF101" s="78"/>
      <c r="AG101" s="88"/>
      <c r="AH101" s="78"/>
      <c r="AI101" s="78"/>
      <c r="AJ101" s="95" t="str">
        <f>IF(P101="","",IFERROR(ROUND(IF(OR(P101="G0B",P101="G0T"),Tabelle5[[#This Row],[AI]]/SUM(LER_01!$L$26:$L$27),Tabelle5[[#This Row],[AI]]/(SUM(LER_01!$K$26:$K$27)+IF(LER_01!$D$10&gt;=4,SUM(LER_01!$M$26:$M$27)))),3),""))</f>
        <v/>
      </c>
      <c r="AK101" s="91" t="str">
        <f>IF(P101="","",IF(OR(P101="SOV",P101="SOB",P101="G0T",P101="G0B"),"",IF(AND(OR(P101="BSS",P101="BFS"),LER_01!$D$10&lt;=2),15%,IF(AND(OR(P101="BSN",P101="BFN"),LER_01!$D$10&gt;=4),100%,25%))))</f>
        <v/>
      </c>
      <c r="AL101" s="77"/>
      <c r="AM101" s="78"/>
      <c r="AN101" s="78"/>
      <c r="AO101" s="79"/>
      <c r="AP101" s="94"/>
      <c r="AQ101" s="31"/>
      <c r="AR101" s="20"/>
      <c r="AS101" s="32" t="str">
        <f t="shared" si="12"/>
        <v/>
      </c>
      <c r="AT101" s="32" t="str">
        <f t="shared" si="13"/>
        <v/>
      </c>
      <c r="AU101" s="32" t="str">
        <f t="shared" si="14"/>
        <v/>
      </c>
      <c r="AV101" s="32" t="str">
        <f t="shared" si="15"/>
        <v/>
      </c>
      <c r="AW101" s="32" t="str">
        <f t="shared" si="16"/>
        <v/>
      </c>
      <c r="AX101" s="32" t="str">
        <f t="shared" si="17"/>
        <v/>
      </c>
      <c r="AY101" s="32" t="str">
        <f t="shared" si="18"/>
        <v/>
      </c>
      <c r="AZ101" s="32" t="str">
        <f t="shared" si="19"/>
        <v/>
      </c>
      <c r="BA101" s="32" t="str">
        <f t="shared" si="20"/>
        <v/>
      </c>
      <c r="BB101" s="32" t="str">
        <f t="shared" si="21"/>
        <v/>
      </c>
      <c r="BC101" s="32" t="str">
        <f>IF(ISBLANK(O101),"",IF(ISBLANK(AO101),"",IF(AO101&gt;='Delivery Note'!$H$5,IF(AO101&lt;='Delivery Note'!$H$5+92,"","ERROR"),"ERROR")))</f>
        <v/>
      </c>
      <c r="BD101" s="32" t="str">
        <f t="shared" si="22"/>
        <v/>
      </c>
      <c r="BE101" s="32" t="str">
        <f t="shared" si="23"/>
        <v/>
      </c>
    </row>
    <row r="102" spans="2:57" x14ac:dyDescent="0.2">
      <c r="B102" s="20"/>
      <c r="C102" s="53"/>
      <c r="E102" s="31">
        <v>102</v>
      </c>
      <c r="F102" s="47"/>
      <c r="G102" s="47"/>
      <c r="H102" s="47"/>
      <c r="I102" s="47"/>
      <c r="J102" s="76"/>
      <c r="K102" s="93"/>
      <c r="L102" s="86"/>
      <c r="M102" s="86"/>
      <c r="N102" s="86"/>
      <c r="O102" s="86"/>
      <c r="P102" s="86"/>
      <c r="Q102" s="86"/>
      <c r="R102" s="86"/>
      <c r="S102" s="86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78"/>
      <c r="AE102" s="78"/>
      <c r="AF102" s="78"/>
      <c r="AG102" s="88"/>
      <c r="AH102" s="78"/>
      <c r="AI102" s="78"/>
      <c r="AJ102" s="95" t="str">
        <f>IF(P102="","",IFERROR(ROUND(IF(OR(P102="G0B",P102="G0T"),Tabelle5[[#This Row],[AI]]/SUM(LER_01!$L$26:$L$27),Tabelle5[[#This Row],[AI]]/(SUM(LER_01!$K$26:$K$27)+IF(LER_01!$D$10&gt;=4,SUM(LER_01!$M$26:$M$27)))),3),""))</f>
        <v/>
      </c>
      <c r="AK102" s="91" t="str">
        <f>IF(P102="","",IF(OR(P102="SOV",P102="SOB",P102="G0T",P102="G0B"),"",IF(AND(OR(P102="BSS",P102="BFS"),LER_01!$D$10&lt;=2),15%,IF(AND(OR(P102="BSN",P102="BFN"),LER_01!$D$10&gt;=4),100%,25%))))</f>
        <v/>
      </c>
      <c r="AL102" s="77"/>
      <c r="AM102" s="78"/>
      <c r="AN102" s="78"/>
      <c r="AO102" s="79"/>
      <c r="AP102" s="94"/>
      <c r="AQ102" s="31"/>
      <c r="AR102" s="20"/>
      <c r="AS102" s="32" t="str">
        <f t="shared" si="12"/>
        <v/>
      </c>
      <c r="AT102" s="32" t="str">
        <f t="shared" si="13"/>
        <v/>
      </c>
      <c r="AU102" s="32" t="str">
        <f t="shared" si="14"/>
        <v/>
      </c>
      <c r="AV102" s="32" t="str">
        <f t="shared" si="15"/>
        <v/>
      </c>
      <c r="AW102" s="32" t="str">
        <f t="shared" si="16"/>
        <v/>
      </c>
      <c r="AX102" s="32" t="str">
        <f t="shared" si="17"/>
        <v/>
      </c>
      <c r="AY102" s="32" t="str">
        <f t="shared" si="18"/>
        <v/>
      </c>
      <c r="AZ102" s="32" t="str">
        <f t="shared" si="19"/>
        <v/>
      </c>
      <c r="BA102" s="32" t="str">
        <f t="shared" si="20"/>
        <v/>
      </c>
      <c r="BB102" s="32" t="str">
        <f t="shared" si="21"/>
        <v/>
      </c>
      <c r="BC102" s="32" t="str">
        <f>IF(ISBLANK(O102),"",IF(ISBLANK(AO102),"",IF(AO102&gt;='Delivery Note'!$H$5,IF(AO102&lt;='Delivery Note'!$H$5+92,"","ERROR"),"ERROR")))</f>
        <v/>
      </c>
      <c r="BD102" s="32" t="str">
        <f t="shared" si="22"/>
        <v/>
      </c>
      <c r="BE102" s="32" t="str">
        <f t="shared" si="23"/>
        <v/>
      </c>
    </row>
    <row r="103" spans="2:57" x14ac:dyDescent="0.2">
      <c r="B103" s="20"/>
      <c r="C103" s="53"/>
      <c r="E103" s="31">
        <v>103</v>
      </c>
      <c r="F103" s="47"/>
      <c r="G103" s="47"/>
      <c r="H103" s="47"/>
      <c r="I103" s="47"/>
      <c r="J103" s="76"/>
      <c r="K103" s="93"/>
      <c r="L103" s="86"/>
      <c r="M103" s="86"/>
      <c r="N103" s="86"/>
      <c r="O103" s="86"/>
      <c r="P103" s="86"/>
      <c r="Q103" s="86"/>
      <c r="R103" s="86"/>
      <c r="S103" s="86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78"/>
      <c r="AE103" s="78"/>
      <c r="AF103" s="78"/>
      <c r="AG103" s="88"/>
      <c r="AH103" s="78"/>
      <c r="AI103" s="78"/>
      <c r="AJ103" s="95" t="str">
        <f>IF(P103="","",IFERROR(ROUND(IF(OR(P103="G0B",P103="G0T"),Tabelle5[[#This Row],[AI]]/SUM(LER_01!$L$26:$L$27),Tabelle5[[#This Row],[AI]]/(SUM(LER_01!$K$26:$K$27)+IF(LER_01!$D$10&gt;=4,SUM(LER_01!$M$26:$M$27)))),3),""))</f>
        <v/>
      </c>
      <c r="AK103" s="91" t="str">
        <f>IF(P103="","",IF(OR(P103="SOV",P103="SOB",P103="G0T",P103="G0B"),"",IF(AND(OR(P103="BSS",P103="BFS"),LER_01!$D$10&lt;=2),15%,IF(AND(OR(P103="BSN",P103="BFN"),LER_01!$D$10&gt;=4),100%,25%))))</f>
        <v/>
      </c>
      <c r="AL103" s="77"/>
      <c r="AM103" s="78"/>
      <c r="AN103" s="78"/>
      <c r="AO103" s="79"/>
      <c r="AP103" s="94"/>
      <c r="AQ103" s="31"/>
      <c r="AR103" s="20"/>
      <c r="AS103" s="32" t="str">
        <f t="shared" si="12"/>
        <v/>
      </c>
      <c r="AT103" s="32" t="str">
        <f t="shared" si="13"/>
        <v/>
      </c>
      <c r="AU103" s="32" t="str">
        <f t="shared" si="14"/>
        <v/>
      </c>
      <c r="AV103" s="32" t="str">
        <f t="shared" si="15"/>
        <v/>
      </c>
      <c r="AW103" s="32" t="str">
        <f t="shared" si="16"/>
        <v/>
      </c>
      <c r="AX103" s="32" t="str">
        <f t="shared" si="17"/>
        <v/>
      </c>
      <c r="AY103" s="32" t="str">
        <f t="shared" si="18"/>
        <v/>
      </c>
      <c r="AZ103" s="32" t="str">
        <f t="shared" si="19"/>
        <v/>
      </c>
      <c r="BA103" s="32" t="str">
        <f t="shared" si="20"/>
        <v/>
      </c>
      <c r="BB103" s="32" t="str">
        <f t="shared" si="21"/>
        <v/>
      </c>
      <c r="BC103" s="32" t="str">
        <f>IF(ISBLANK(O103),"",IF(ISBLANK(AO103),"",IF(AO103&gt;='Delivery Note'!$H$5,IF(AO103&lt;='Delivery Note'!$H$5+92,"","ERROR"),"ERROR")))</f>
        <v/>
      </c>
      <c r="BD103" s="32" t="str">
        <f t="shared" si="22"/>
        <v/>
      </c>
      <c r="BE103" s="32" t="str">
        <f t="shared" si="23"/>
        <v/>
      </c>
    </row>
    <row r="104" spans="2:57" x14ac:dyDescent="0.2">
      <c r="B104" s="20"/>
      <c r="C104" s="53"/>
      <c r="E104" s="31">
        <v>104</v>
      </c>
      <c r="F104" s="47"/>
      <c r="G104" s="47"/>
      <c r="H104" s="47"/>
      <c r="I104" s="47"/>
      <c r="J104" s="76"/>
      <c r="K104" s="93"/>
      <c r="L104" s="86"/>
      <c r="M104" s="86"/>
      <c r="N104" s="86"/>
      <c r="O104" s="86"/>
      <c r="P104" s="86"/>
      <c r="Q104" s="86"/>
      <c r="R104" s="86"/>
      <c r="S104" s="86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78"/>
      <c r="AE104" s="78"/>
      <c r="AF104" s="78"/>
      <c r="AG104" s="88"/>
      <c r="AH104" s="78"/>
      <c r="AI104" s="78"/>
      <c r="AJ104" s="95" t="str">
        <f>IF(P104="","",IFERROR(ROUND(IF(OR(P104="G0B",P104="G0T"),Tabelle5[[#This Row],[AI]]/SUM(LER_01!$L$26:$L$27),Tabelle5[[#This Row],[AI]]/(SUM(LER_01!$K$26:$K$27)+IF(LER_01!$D$10&gt;=4,SUM(LER_01!$M$26:$M$27)))),3),""))</f>
        <v/>
      </c>
      <c r="AK104" s="91" t="str">
        <f>IF(P104="","",IF(OR(P104="SOV",P104="SOB",P104="G0T",P104="G0B"),"",IF(AND(OR(P104="BSS",P104="BFS"),LER_01!$D$10&lt;=2),15%,IF(AND(OR(P104="BSN",P104="BFN"),LER_01!$D$10&gt;=4),100%,25%))))</f>
        <v/>
      </c>
      <c r="AL104" s="77"/>
      <c r="AM104" s="78"/>
      <c r="AN104" s="78"/>
      <c r="AO104" s="79"/>
      <c r="AP104" s="94"/>
      <c r="AQ104" s="31"/>
      <c r="AR104" s="20"/>
      <c r="AS104" s="32" t="str">
        <f t="shared" si="12"/>
        <v/>
      </c>
      <c r="AT104" s="32" t="str">
        <f t="shared" si="13"/>
        <v/>
      </c>
      <c r="AU104" s="32" t="str">
        <f t="shared" si="14"/>
        <v/>
      </c>
      <c r="AV104" s="32" t="str">
        <f t="shared" si="15"/>
        <v/>
      </c>
      <c r="AW104" s="32" t="str">
        <f t="shared" si="16"/>
        <v/>
      </c>
      <c r="AX104" s="32" t="str">
        <f t="shared" si="17"/>
        <v/>
      </c>
      <c r="AY104" s="32" t="str">
        <f t="shared" si="18"/>
        <v/>
      </c>
      <c r="AZ104" s="32" t="str">
        <f t="shared" si="19"/>
        <v/>
      </c>
      <c r="BA104" s="32" t="str">
        <f t="shared" si="20"/>
        <v/>
      </c>
      <c r="BB104" s="32" t="str">
        <f t="shared" si="21"/>
        <v/>
      </c>
      <c r="BC104" s="32" t="str">
        <f>IF(ISBLANK(O104),"",IF(ISBLANK(AO104),"",IF(AO104&gt;='Delivery Note'!$H$5,IF(AO104&lt;='Delivery Note'!$H$5+92,"","ERROR"),"ERROR")))</f>
        <v/>
      </c>
      <c r="BD104" s="32" t="str">
        <f t="shared" si="22"/>
        <v/>
      </c>
      <c r="BE104" s="32" t="str">
        <f t="shared" si="23"/>
        <v/>
      </c>
    </row>
    <row r="105" spans="2:57" x14ac:dyDescent="0.2">
      <c r="B105" s="20"/>
      <c r="C105" s="53"/>
      <c r="E105" s="31">
        <v>105</v>
      </c>
      <c r="F105" s="47"/>
      <c r="G105" s="47"/>
      <c r="H105" s="47"/>
      <c r="I105" s="47"/>
      <c r="J105" s="76"/>
      <c r="K105" s="93"/>
      <c r="L105" s="86"/>
      <c r="M105" s="86"/>
      <c r="N105" s="86"/>
      <c r="O105" s="86"/>
      <c r="P105" s="86"/>
      <c r="Q105" s="86"/>
      <c r="R105" s="86"/>
      <c r="S105" s="86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78"/>
      <c r="AE105" s="78"/>
      <c r="AF105" s="78"/>
      <c r="AG105" s="88"/>
      <c r="AH105" s="78"/>
      <c r="AI105" s="78"/>
      <c r="AJ105" s="95" t="str">
        <f>IF(P105="","",IFERROR(ROUND(IF(OR(P105="G0B",P105="G0T"),Tabelle5[[#This Row],[AI]]/SUM(LER_01!$L$26:$L$27),Tabelle5[[#This Row],[AI]]/(SUM(LER_01!$K$26:$K$27)+IF(LER_01!$D$10&gt;=4,SUM(LER_01!$M$26:$M$27)))),3),""))</f>
        <v/>
      </c>
      <c r="AK105" s="91" t="str">
        <f>IF(P105="","",IF(OR(P105="SOV",P105="SOB",P105="G0T",P105="G0B"),"",IF(AND(OR(P105="BSS",P105="BFS"),LER_01!$D$10&lt;=2),15%,IF(AND(OR(P105="BSN",P105="BFN"),LER_01!$D$10&gt;=4),100%,25%))))</f>
        <v/>
      </c>
      <c r="AL105" s="77"/>
      <c r="AM105" s="78"/>
      <c r="AN105" s="78"/>
      <c r="AO105" s="79"/>
      <c r="AP105" s="94"/>
      <c r="AQ105" s="31"/>
      <c r="AR105" s="20"/>
      <c r="AS105" s="32" t="str">
        <f t="shared" si="12"/>
        <v/>
      </c>
      <c r="AT105" s="32" t="str">
        <f t="shared" si="13"/>
        <v/>
      </c>
      <c r="AU105" s="32" t="str">
        <f t="shared" si="14"/>
        <v/>
      </c>
      <c r="AV105" s="32" t="str">
        <f t="shared" si="15"/>
        <v/>
      </c>
      <c r="AW105" s="32" t="str">
        <f t="shared" si="16"/>
        <v/>
      </c>
      <c r="AX105" s="32" t="str">
        <f t="shared" si="17"/>
        <v/>
      </c>
      <c r="AY105" s="32" t="str">
        <f t="shared" si="18"/>
        <v/>
      </c>
      <c r="AZ105" s="32" t="str">
        <f t="shared" si="19"/>
        <v/>
      </c>
      <c r="BA105" s="32" t="str">
        <f t="shared" si="20"/>
        <v/>
      </c>
      <c r="BB105" s="32" t="str">
        <f t="shared" si="21"/>
        <v/>
      </c>
      <c r="BC105" s="32" t="str">
        <f>IF(ISBLANK(O105),"",IF(ISBLANK(AO105),"",IF(AO105&gt;='Delivery Note'!$H$5,IF(AO105&lt;='Delivery Note'!$H$5+92,"","ERROR"),"ERROR")))</f>
        <v/>
      </c>
      <c r="BD105" s="32" t="str">
        <f t="shared" si="22"/>
        <v/>
      </c>
      <c r="BE105" s="32" t="str">
        <f t="shared" si="23"/>
        <v/>
      </c>
    </row>
    <row r="106" spans="2:57" x14ac:dyDescent="0.2">
      <c r="B106" s="20"/>
      <c r="C106" s="53"/>
      <c r="E106" s="31">
        <v>106</v>
      </c>
      <c r="F106" s="47"/>
      <c r="G106" s="47"/>
      <c r="H106" s="47"/>
      <c r="I106" s="47"/>
      <c r="J106" s="76"/>
      <c r="K106" s="93"/>
      <c r="L106" s="86"/>
      <c r="M106" s="86"/>
      <c r="N106" s="86"/>
      <c r="O106" s="86"/>
      <c r="P106" s="86"/>
      <c r="Q106" s="86"/>
      <c r="R106" s="86"/>
      <c r="S106" s="86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78"/>
      <c r="AE106" s="78"/>
      <c r="AF106" s="78"/>
      <c r="AG106" s="88"/>
      <c r="AH106" s="78"/>
      <c r="AI106" s="78"/>
      <c r="AJ106" s="95" t="str">
        <f>IF(P106="","",IFERROR(ROUND(IF(OR(P106="G0B",P106="G0T"),Tabelle5[[#This Row],[AI]]/SUM(LER_01!$L$26:$L$27),Tabelle5[[#This Row],[AI]]/(SUM(LER_01!$K$26:$K$27)+IF(LER_01!$D$10&gt;=4,SUM(LER_01!$M$26:$M$27)))),3),""))</f>
        <v/>
      </c>
      <c r="AK106" s="91" t="str">
        <f>IF(P106="","",IF(OR(P106="SOV",P106="SOB",P106="G0T",P106="G0B"),"",IF(AND(OR(P106="BSS",P106="BFS"),LER_01!$D$10&lt;=2),15%,IF(AND(OR(P106="BSN",P106="BFN"),LER_01!$D$10&gt;=4),100%,25%))))</f>
        <v/>
      </c>
      <c r="AL106" s="77"/>
      <c r="AM106" s="78"/>
      <c r="AN106" s="78"/>
      <c r="AO106" s="79"/>
      <c r="AP106" s="94"/>
      <c r="AQ106" s="31"/>
      <c r="AR106" s="20"/>
      <c r="AS106" s="32" t="str">
        <f t="shared" si="12"/>
        <v/>
      </c>
      <c r="AT106" s="32" t="str">
        <f t="shared" si="13"/>
        <v/>
      </c>
      <c r="AU106" s="32" t="str">
        <f t="shared" si="14"/>
        <v/>
      </c>
      <c r="AV106" s="32" t="str">
        <f t="shared" si="15"/>
        <v/>
      </c>
      <c r="AW106" s="32" t="str">
        <f t="shared" si="16"/>
        <v/>
      </c>
      <c r="AX106" s="32" t="str">
        <f t="shared" si="17"/>
        <v/>
      </c>
      <c r="AY106" s="32" t="str">
        <f t="shared" si="18"/>
        <v/>
      </c>
      <c r="AZ106" s="32" t="str">
        <f t="shared" si="19"/>
        <v/>
      </c>
      <c r="BA106" s="32" t="str">
        <f t="shared" si="20"/>
        <v/>
      </c>
      <c r="BB106" s="32" t="str">
        <f t="shared" si="21"/>
        <v/>
      </c>
      <c r="BC106" s="32" t="str">
        <f>IF(ISBLANK(O106),"",IF(ISBLANK(AO106),"",IF(AO106&gt;='Delivery Note'!$H$5,IF(AO106&lt;='Delivery Note'!$H$5+92,"","ERROR"),"ERROR")))</f>
        <v/>
      </c>
      <c r="BD106" s="32" t="str">
        <f t="shared" si="22"/>
        <v/>
      </c>
      <c r="BE106" s="32" t="str">
        <f t="shared" si="23"/>
        <v/>
      </c>
    </row>
    <row r="107" spans="2:57" x14ac:dyDescent="0.2">
      <c r="B107" s="20"/>
      <c r="C107" s="53"/>
      <c r="E107" s="31">
        <v>107</v>
      </c>
      <c r="F107" s="47"/>
      <c r="G107" s="47"/>
      <c r="H107" s="47"/>
      <c r="I107" s="47"/>
      <c r="J107" s="76"/>
      <c r="K107" s="93"/>
      <c r="L107" s="86"/>
      <c r="M107" s="86"/>
      <c r="N107" s="86"/>
      <c r="O107" s="86"/>
      <c r="P107" s="86"/>
      <c r="Q107" s="86"/>
      <c r="R107" s="86"/>
      <c r="S107" s="86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78"/>
      <c r="AE107" s="78"/>
      <c r="AF107" s="78"/>
      <c r="AG107" s="88"/>
      <c r="AH107" s="78"/>
      <c r="AI107" s="78"/>
      <c r="AJ107" s="95" t="str">
        <f>IF(P107="","",IFERROR(ROUND(IF(OR(P107="G0B",P107="G0T"),Tabelle5[[#This Row],[AI]]/SUM(LER_01!$L$26:$L$27),Tabelle5[[#This Row],[AI]]/(SUM(LER_01!$K$26:$K$27)+IF(LER_01!$D$10&gt;=4,SUM(LER_01!$M$26:$M$27)))),3),""))</f>
        <v/>
      </c>
      <c r="AK107" s="91" t="str">
        <f>IF(P107="","",IF(OR(P107="SOV",P107="SOB",P107="G0T",P107="G0B"),"",IF(AND(OR(P107="BSS",P107="BFS"),LER_01!$D$10&lt;=2),15%,IF(AND(OR(P107="BSN",P107="BFN"),LER_01!$D$10&gt;=4),100%,25%))))</f>
        <v/>
      </c>
      <c r="AL107" s="77"/>
      <c r="AM107" s="78"/>
      <c r="AN107" s="78"/>
      <c r="AO107" s="79"/>
      <c r="AP107" s="94"/>
      <c r="AQ107" s="31"/>
      <c r="AR107" s="20"/>
      <c r="AS107" s="32" t="str">
        <f t="shared" si="12"/>
        <v/>
      </c>
      <c r="AT107" s="32" t="str">
        <f t="shared" si="13"/>
        <v/>
      </c>
      <c r="AU107" s="32" t="str">
        <f t="shared" si="14"/>
        <v/>
      </c>
      <c r="AV107" s="32" t="str">
        <f t="shared" si="15"/>
        <v/>
      </c>
      <c r="AW107" s="32" t="str">
        <f t="shared" si="16"/>
        <v/>
      </c>
      <c r="AX107" s="32" t="str">
        <f t="shared" si="17"/>
        <v/>
      </c>
      <c r="AY107" s="32" t="str">
        <f t="shared" si="18"/>
        <v/>
      </c>
      <c r="AZ107" s="32" t="str">
        <f t="shared" si="19"/>
        <v/>
      </c>
      <c r="BA107" s="32" t="str">
        <f t="shared" si="20"/>
        <v/>
      </c>
      <c r="BB107" s="32" t="str">
        <f t="shared" si="21"/>
        <v/>
      </c>
      <c r="BC107" s="32" t="str">
        <f>IF(ISBLANK(O107),"",IF(ISBLANK(AO107),"",IF(AO107&gt;='Delivery Note'!$H$5,IF(AO107&lt;='Delivery Note'!$H$5+92,"","ERROR"),"ERROR")))</f>
        <v/>
      </c>
      <c r="BD107" s="32" t="str">
        <f t="shared" si="22"/>
        <v/>
      </c>
      <c r="BE107" s="32" t="str">
        <f t="shared" si="23"/>
        <v/>
      </c>
    </row>
    <row r="108" spans="2:57" x14ac:dyDescent="0.2">
      <c r="B108" s="20"/>
      <c r="C108" s="53"/>
      <c r="E108" s="31">
        <v>108</v>
      </c>
      <c r="F108" s="47"/>
      <c r="G108" s="47"/>
      <c r="H108" s="47"/>
      <c r="I108" s="47"/>
      <c r="J108" s="76"/>
      <c r="K108" s="93"/>
      <c r="L108" s="86"/>
      <c r="M108" s="86"/>
      <c r="N108" s="86"/>
      <c r="O108" s="86"/>
      <c r="P108" s="86"/>
      <c r="Q108" s="86"/>
      <c r="R108" s="86"/>
      <c r="S108" s="86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78"/>
      <c r="AE108" s="78"/>
      <c r="AF108" s="78"/>
      <c r="AG108" s="88"/>
      <c r="AH108" s="78"/>
      <c r="AI108" s="78"/>
      <c r="AJ108" s="95" t="str">
        <f>IF(P108="","",IFERROR(ROUND(IF(OR(P108="G0B",P108="G0T"),Tabelle5[[#This Row],[AI]]/SUM(LER_01!$L$26:$L$27),Tabelle5[[#This Row],[AI]]/(SUM(LER_01!$K$26:$K$27)+IF(LER_01!$D$10&gt;=4,SUM(LER_01!$M$26:$M$27)))),3),""))</f>
        <v/>
      </c>
      <c r="AK108" s="91" t="str">
        <f>IF(P108="","",IF(OR(P108="SOV",P108="SOB",P108="G0T",P108="G0B"),"",IF(AND(OR(P108="BSS",P108="BFS"),LER_01!$D$10&lt;=2),15%,IF(AND(OR(P108="BSN",P108="BFN"),LER_01!$D$10&gt;=4),100%,25%))))</f>
        <v/>
      </c>
      <c r="AL108" s="77"/>
      <c r="AM108" s="78"/>
      <c r="AN108" s="78"/>
      <c r="AO108" s="79"/>
      <c r="AP108" s="94"/>
      <c r="AQ108" s="31"/>
      <c r="AR108" s="20"/>
      <c r="AS108" s="32" t="str">
        <f t="shared" si="12"/>
        <v/>
      </c>
      <c r="AT108" s="32" t="str">
        <f t="shared" si="13"/>
        <v/>
      </c>
      <c r="AU108" s="32" t="str">
        <f t="shared" si="14"/>
        <v/>
      </c>
      <c r="AV108" s="32" t="str">
        <f t="shared" si="15"/>
        <v/>
      </c>
      <c r="AW108" s="32" t="str">
        <f t="shared" si="16"/>
        <v/>
      </c>
      <c r="AX108" s="32" t="str">
        <f t="shared" si="17"/>
        <v/>
      </c>
      <c r="AY108" s="32" t="str">
        <f t="shared" si="18"/>
        <v/>
      </c>
      <c r="AZ108" s="32" t="str">
        <f t="shared" si="19"/>
        <v/>
      </c>
      <c r="BA108" s="32" t="str">
        <f t="shared" si="20"/>
        <v/>
      </c>
      <c r="BB108" s="32" t="str">
        <f t="shared" si="21"/>
        <v/>
      </c>
      <c r="BC108" s="32" t="str">
        <f>IF(ISBLANK(O108),"",IF(ISBLANK(AO108),"",IF(AO108&gt;='Delivery Note'!$H$5,IF(AO108&lt;='Delivery Note'!$H$5+92,"","ERROR"),"ERROR")))</f>
        <v/>
      </c>
      <c r="BD108" s="32" t="str">
        <f t="shared" si="22"/>
        <v/>
      </c>
      <c r="BE108" s="32" t="str">
        <f t="shared" si="23"/>
        <v/>
      </c>
    </row>
    <row r="109" spans="2:57" x14ac:dyDescent="0.2">
      <c r="B109" s="20"/>
      <c r="C109" s="53"/>
      <c r="E109" s="31">
        <v>109</v>
      </c>
      <c r="F109" s="47"/>
      <c r="G109" s="47"/>
      <c r="H109" s="47"/>
      <c r="I109" s="47"/>
      <c r="J109" s="76"/>
      <c r="K109" s="93"/>
      <c r="L109" s="86"/>
      <c r="M109" s="86"/>
      <c r="N109" s="86"/>
      <c r="O109" s="86"/>
      <c r="P109" s="86"/>
      <c r="Q109" s="86"/>
      <c r="R109" s="86"/>
      <c r="S109" s="86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78"/>
      <c r="AE109" s="78"/>
      <c r="AF109" s="78"/>
      <c r="AG109" s="88"/>
      <c r="AH109" s="78"/>
      <c r="AI109" s="78"/>
      <c r="AJ109" s="95" t="str">
        <f>IF(P109="","",IFERROR(ROUND(IF(OR(P109="G0B",P109="G0T"),Tabelle5[[#This Row],[AI]]/SUM(LER_01!$L$26:$L$27),Tabelle5[[#This Row],[AI]]/(SUM(LER_01!$K$26:$K$27)+IF(LER_01!$D$10&gt;=4,SUM(LER_01!$M$26:$M$27)))),3),""))</f>
        <v/>
      </c>
      <c r="AK109" s="91" t="str">
        <f>IF(P109="","",IF(OR(P109="SOV",P109="SOB",P109="G0T",P109="G0B"),"",IF(AND(OR(P109="BSS",P109="BFS"),LER_01!$D$10&lt;=2),15%,IF(AND(OR(P109="BSN",P109="BFN"),LER_01!$D$10&gt;=4),100%,25%))))</f>
        <v/>
      </c>
      <c r="AL109" s="77"/>
      <c r="AM109" s="78"/>
      <c r="AN109" s="78"/>
      <c r="AO109" s="79"/>
      <c r="AP109" s="94"/>
      <c r="AQ109" s="31"/>
      <c r="AR109" s="20"/>
      <c r="AS109" s="32" t="str">
        <f t="shared" si="12"/>
        <v/>
      </c>
      <c r="AT109" s="32" t="str">
        <f t="shared" si="13"/>
        <v/>
      </c>
      <c r="AU109" s="32" t="str">
        <f t="shared" si="14"/>
        <v/>
      </c>
      <c r="AV109" s="32" t="str">
        <f t="shared" si="15"/>
        <v/>
      </c>
      <c r="AW109" s="32" t="str">
        <f t="shared" si="16"/>
        <v/>
      </c>
      <c r="AX109" s="32" t="str">
        <f t="shared" si="17"/>
        <v/>
      </c>
      <c r="AY109" s="32" t="str">
        <f t="shared" si="18"/>
        <v/>
      </c>
      <c r="AZ109" s="32" t="str">
        <f t="shared" si="19"/>
        <v/>
      </c>
      <c r="BA109" s="32" t="str">
        <f t="shared" si="20"/>
        <v/>
      </c>
      <c r="BB109" s="32" t="str">
        <f t="shared" si="21"/>
        <v/>
      </c>
      <c r="BC109" s="32" t="str">
        <f>IF(ISBLANK(O109),"",IF(ISBLANK(AO109),"",IF(AO109&gt;='Delivery Note'!$H$5,IF(AO109&lt;='Delivery Note'!$H$5+92,"","ERROR"),"ERROR")))</f>
        <v/>
      </c>
      <c r="BD109" s="32" t="str">
        <f t="shared" si="22"/>
        <v/>
      </c>
      <c r="BE109" s="32" t="str">
        <f t="shared" si="23"/>
        <v/>
      </c>
    </row>
    <row r="110" spans="2:57" x14ac:dyDescent="0.2">
      <c r="B110" s="20"/>
      <c r="C110" s="53"/>
      <c r="E110" s="31">
        <v>110</v>
      </c>
      <c r="F110" s="47"/>
      <c r="G110" s="47"/>
      <c r="H110" s="47"/>
      <c r="I110" s="47"/>
      <c r="J110" s="76"/>
      <c r="K110" s="93"/>
      <c r="L110" s="86"/>
      <c r="M110" s="86"/>
      <c r="N110" s="86"/>
      <c r="O110" s="86"/>
      <c r="P110" s="86"/>
      <c r="Q110" s="86"/>
      <c r="R110" s="86"/>
      <c r="S110" s="86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78"/>
      <c r="AE110" s="78"/>
      <c r="AF110" s="78"/>
      <c r="AG110" s="88"/>
      <c r="AH110" s="78"/>
      <c r="AI110" s="78"/>
      <c r="AJ110" s="95" t="str">
        <f>IF(P110="","",IFERROR(ROUND(IF(OR(P110="G0B",P110="G0T"),Tabelle5[[#This Row],[AI]]/SUM(LER_01!$L$26:$L$27),Tabelle5[[#This Row],[AI]]/(SUM(LER_01!$K$26:$K$27)+IF(LER_01!$D$10&gt;=4,SUM(LER_01!$M$26:$M$27)))),3),""))</f>
        <v/>
      </c>
      <c r="AK110" s="91" t="str">
        <f>IF(P110="","",IF(OR(P110="SOV",P110="SOB",P110="G0T",P110="G0B"),"",IF(AND(OR(P110="BSS",P110="BFS"),LER_01!$D$10&lt;=2),15%,IF(AND(OR(P110="BSN",P110="BFN"),LER_01!$D$10&gt;=4),100%,25%))))</f>
        <v/>
      </c>
      <c r="AL110" s="77"/>
      <c r="AM110" s="78"/>
      <c r="AN110" s="78"/>
      <c r="AO110" s="79"/>
      <c r="AP110" s="94"/>
      <c r="AQ110" s="31"/>
      <c r="AR110" s="20"/>
      <c r="AS110" s="32" t="str">
        <f t="shared" si="12"/>
        <v/>
      </c>
      <c r="AT110" s="32" t="str">
        <f t="shared" si="13"/>
        <v/>
      </c>
      <c r="AU110" s="32" t="str">
        <f t="shared" si="14"/>
        <v/>
      </c>
      <c r="AV110" s="32" t="str">
        <f t="shared" si="15"/>
        <v/>
      </c>
      <c r="AW110" s="32" t="str">
        <f t="shared" si="16"/>
        <v/>
      </c>
      <c r="AX110" s="32" t="str">
        <f t="shared" si="17"/>
        <v/>
      </c>
      <c r="AY110" s="32" t="str">
        <f t="shared" si="18"/>
        <v/>
      </c>
      <c r="AZ110" s="32" t="str">
        <f t="shared" si="19"/>
        <v/>
      </c>
      <c r="BA110" s="32" t="str">
        <f t="shared" si="20"/>
        <v/>
      </c>
      <c r="BB110" s="32" t="str">
        <f t="shared" si="21"/>
        <v/>
      </c>
      <c r="BC110" s="32" t="str">
        <f>IF(ISBLANK(O110),"",IF(ISBLANK(AO110),"",IF(AO110&gt;='Delivery Note'!$H$5,IF(AO110&lt;='Delivery Note'!$H$5+92,"","ERROR"),"ERROR")))</f>
        <v/>
      </c>
      <c r="BD110" s="32" t="str">
        <f t="shared" si="22"/>
        <v/>
      </c>
      <c r="BE110" s="32" t="str">
        <f t="shared" si="23"/>
        <v/>
      </c>
    </row>
    <row r="111" spans="2:57" x14ac:dyDescent="0.2">
      <c r="B111" s="20"/>
      <c r="C111" s="53"/>
      <c r="E111" s="31">
        <v>111</v>
      </c>
      <c r="F111" s="47"/>
      <c r="G111" s="47"/>
      <c r="H111" s="47"/>
      <c r="I111" s="47"/>
      <c r="J111" s="76"/>
      <c r="K111" s="93"/>
      <c r="L111" s="86"/>
      <c r="M111" s="86"/>
      <c r="N111" s="86"/>
      <c r="O111" s="86"/>
      <c r="P111" s="86"/>
      <c r="Q111" s="86"/>
      <c r="R111" s="86"/>
      <c r="S111" s="86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78"/>
      <c r="AE111" s="78"/>
      <c r="AF111" s="78"/>
      <c r="AG111" s="88"/>
      <c r="AH111" s="78"/>
      <c r="AI111" s="78"/>
      <c r="AJ111" s="95" t="str">
        <f>IF(P111="","",IFERROR(ROUND(IF(OR(P111="G0B",P111="G0T"),Tabelle5[[#This Row],[AI]]/SUM(LER_01!$L$26:$L$27),Tabelle5[[#This Row],[AI]]/(SUM(LER_01!$K$26:$K$27)+IF(LER_01!$D$10&gt;=4,SUM(LER_01!$M$26:$M$27)))),3),""))</f>
        <v/>
      </c>
      <c r="AK111" s="91" t="str">
        <f>IF(P111="","",IF(OR(P111="SOV",P111="SOB",P111="G0T",P111="G0B"),"",IF(AND(OR(P111="BSS",P111="BFS"),LER_01!$D$10&lt;=2),15%,IF(AND(OR(P111="BSN",P111="BFN"),LER_01!$D$10&gt;=4),100%,25%))))</f>
        <v/>
      </c>
      <c r="AL111" s="77"/>
      <c r="AM111" s="78"/>
      <c r="AN111" s="78"/>
      <c r="AO111" s="79"/>
      <c r="AP111" s="94"/>
      <c r="AQ111" s="31"/>
      <c r="AR111" s="20"/>
      <c r="AS111" s="32" t="str">
        <f t="shared" si="12"/>
        <v/>
      </c>
      <c r="AT111" s="32" t="str">
        <f t="shared" si="13"/>
        <v/>
      </c>
      <c r="AU111" s="32" t="str">
        <f t="shared" si="14"/>
        <v/>
      </c>
      <c r="AV111" s="32" t="str">
        <f t="shared" si="15"/>
        <v/>
      </c>
      <c r="AW111" s="32" t="str">
        <f t="shared" si="16"/>
        <v/>
      </c>
      <c r="AX111" s="32" t="str">
        <f t="shared" si="17"/>
        <v/>
      </c>
      <c r="AY111" s="32" t="str">
        <f t="shared" si="18"/>
        <v/>
      </c>
      <c r="AZ111" s="32" t="str">
        <f t="shared" si="19"/>
        <v/>
      </c>
      <c r="BA111" s="32" t="str">
        <f t="shared" si="20"/>
        <v/>
      </c>
      <c r="BB111" s="32" t="str">
        <f t="shared" si="21"/>
        <v/>
      </c>
      <c r="BC111" s="32" t="str">
        <f>IF(ISBLANK(O111),"",IF(ISBLANK(AO111),"",IF(AO111&gt;='Delivery Note'!$H$5,IF(AO111&lt;='Delivery Note'!$H$5+92,"","ERROR"),"ERROR")))</f>
        <v/>
      </c>
      <c r="BD111" s="32" t="str">
        <f t="shared" si="22"/>
        <v/>
      </c>
      <c r="BE111" s="32" t="str">
        <f t="shared" si="23"/>
        <v/>
      </c>
    </row>
    <row r="112" spans="2:57" x14ac:dyDescent="0.2">
      <c r="B112" s="20"/>
      <c r="C112" s="53"/>
      <c r="E112" s="31">
        <v>112</v>
      </c>
      <c r="F112" s="47"/>
      <c r="G112" s="47"/>
      <c r="H112" s="47"/>
      <c r="I112" s="47"/>
      <c r="J112" s="76"/>
      <c r="K112" s="93"/>
      <c r="L112" s="86"/>
      <c r="M112" s="86"/>
      <c r="N112" s="86"/>
      <c r="O112" s="86"/>
      <c r="P112" s="86"/>
      <c r="Q112" s="86"/>
      <c r="R112" s="86"/>
      <c r="S112" s="86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78"/>
      <c r="AE112" s="78"/>
      <c r="AF112" s="78"/>
      <c r="AG112" s="88"/>
      <c r="AH112" s="78"/>
      <c r="AI112" s="78"/>
      <c r="AJ112" s="95" t="str">
        <f>IF(P112="","",IFERROR(ROUND(IF(OR(P112="G0B",P112="G0T"),Tabelle5[[#This Row],[AI]]/SUM(LER_01!$L$26:$L$27),Tabelle5[[#This Row],[AI]]/(SUM(LER_01!$K$26:$K$27)+IF(LER_01!$D$10&gt;=4,SUM(LER_01!$M$26:$M$27)))),3),""))</f>
        <v/>
      </c>
      <c r="AK112" s="91" t="str">
        <f>IF(P112="","",IF(OR(P112="SOV",P112="SOB",P112="G0T",P112="G0B"),"",IF(AND(OR(P112="BSS",P112="BFS"),LER_01!$D$10&lt;=2),15%,IF(AND(OR(P112="BSN",P112="BFN"),LER_01!$D$10&gt;=4),100%,25%))))</f>
        <v/>
      </c>
      <c r="AL112" s="77"/>
      <c r="AM112" s="78"/>
      <c r="AN112" s="78"/>
      <c r="AO112" s="79"/>
      <c r="AP112" s="94"/>
      <c r="AQ112" s="31"/>
      <c r="AR112" s="20"/>
      <c r="AS112" s="32" t="str">
        <f t="shared" si="12"/>
        <v/>
      </c>
      <c r="AT112" s="32" t="str">
        <f t="shared" si="13"/>
        <v/>
      </c>
      <c r="AU112" s="32" t="str">
        <f t="shared" si="14"/>
        <v/>
      </c>
      <c r="AV112" s="32" t="str">
        <f t="shared" si="15"/>
        <v/>
      </c>
      <c r="AW112" s="32" t="str">
        <f t="shared" si="16"/>
        <v/>
      </c>
      <c r="AX112" s="32" t="str">
        <f t="shared" si="17"/>
        <v/>
      </c>
      <c r="AY112" s="32" t="str">
        <f t="shared" si="18"/>
        <v/>
      </c>
      <c r="AZ112" s="32" t="str">
        <f t="shared" si="19"/>
        <v/>
      </c>
      <c r="BA112" s="32" t="str">
        <f t="shared" si="20"/>
        <v/>
      </c>
      <c r="BB112" s="32" t="str">
        <f t="shared" si="21"/>
        <v/>
      </c>
      <c r="BC112" s="32" t="str">
        <f>IF(ISBLANK(O112),"",IF(ISBLANK(AO112),"",IF(AO112&gt;='Delivery Note'!$H$5,IF(AO112&lt;='Delivery Note'!$H$5+92,"","ERROR"),"ERROR")))</f>
        <v/>
      </c>
      <c r="BD112" s="32" t="str">
        <f t="shared" si="22"/>
        <v/>
      </c>
      <c r="BE112" s="32" t="str">
        <f t="shared" si="23"/>
        <v/>
      </c>
    </row>
    <row r="113" spans="2:57" x14ac:dyDescent="0.2">
      <c r="B113" s="20"/>
      <c r="C113" s="53"/>
      <c r="E113" s="31">
        <v>113</v>
      </c>
      <c r="F113" s="47"/>
      <c r="G113" s="47"/>
      <c r="H113" s="47"/>
      <c r="I113" s="47"/>
      <c r="J113" s="76"/>
      <c r="K113" s="93"/>
      <c r="L113" s="86"/>
      <c r="M113" s="86"/>
      <c r="N113" s="86"/>
      <c r="O113" s="86"/>
      <c r="P113" s="86"/>
      <c r="Q113" s="86"/>
      <c r="R113" s="86"/>
      <c r="S113" s="86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78"/>
      <c r="AE113" s="78"/>
      <c r="AF113" s="78"/>
      <c r="AG113" s="88"/>
      <c r="AH113" s="78"/>
      <c r="AI113" s="78"/>
      <c r="AJ113" s="95" t="str">
        <f>IF(P113="","",IFERROR(ROUND(IF(OR(P113="G0B",P113="G0T"),Tabelle5[[#This Row],[AI]]/SUM(LER_01!$L$26:$L$27),Tabelle5[[#This Row],[AI]]/(SUM(LER_01!$K$26:$K$27)+IF(LER_01!$D$10&gt;=4,SUM(LER_01!$M$26:$M$27)))),3),""))</f>
        <v/>
      </c>
      <c r="AK113" s="91" t="str">
        <f>IF(P113="","",IF(OR(P113="SOV",P113="SOB",P113="G0T",P113="G0B"),"",IF(AND(OR(P113="BSS",P113="BFS"),LER_01!$D$10&lt;=2),15%,IF(AND(OR(P113="BSN",P113="BFN"),LER_01!$D$10&gt;=4),100%,25%))))</f>
        <v/>
      </c>
      <c r="AL113" s="77"/>
      <c r="AM113" s="78"/>
      <c r="AN113" s="78"/>
      <c r="AO113" s="79"/>
      <c r="AP113" s="94"/>
      <c r="AQ113" s="31"/>
      <c r="AR113" s="20"/>
      <c r="AS113" s="32" t="str">
        <f t="shared" si="12"/>
        <v/>
      </c>
      <c r="AT113" s="32" t="str">
        <f t="shared" si="13"/>
        <v/>
      </c>
      <c r="AU113" s="32" t="str">
        <f t="shared" si="14"/>
        <v/>
      </c>
      <c r="AV113" s="32" t="str">
        <f t="shared" si="15"/>
        <v/>
      </c>
      <c r="AW113" s="32" t="str">
        <f t="shared" si="16"/>
        <v/>
      </c>
      <c r="AX113" s="32" t="str">
        <f t="shared" si="17"/>
        <v/>
      </c>
      <c r="AY113" s="32" t="str">
        <f t="shared" si="18"/>
        <v/>
      </c>
      <c r="AZ113" s="32" t="str">
        <f t="shared" si="19"/>
        <v/>
      </c>
      <c r="BA113" s="32" t="str">
        <f t="shared" si="20"/>
        <v/>
      </c>
      <c r="BB113" s="32" t="str">
        <f t="shared" si="21"/>
        <v/>
      </c>
      <c r="BC113" s="32" t="str">
        <f>IF(ISBLANK(O113),"",IF(ISBLANK(AO113),"",IF(AO113&gt;='Delivery Note'!$H$5,IF(AO113&lt;='Delivery Note'!$H$5+92,"","ERROR"),"ERROR")))</f>
        <v/>
      </c>
      <c r="BD113" s="32" t="str">
        <f t="shared" si="22"/>
        <v/>
      </c>
      <c r="BE113" s="32" t="str">
        <f t="shared" si="23"/>
        <v/>
      </c>
    </row>
    <row r="114" spans="2:57" x14ac:dyDescent="0.2">
      <c r="B114" s="20"/>
      <c r="C114" s="53"/>
      <c r="E114" s="31">
        <v>114</v>
      </c>
      <c r="F114" s="47"/>
      <c r="G114" s="47"/>
      <c r="H114" s="47"/>
      <c r="I114" s="47"/>
      <c r="J114" s="76"/>
      <c r="K114" s="93"/>
      <c r="L114" s="86"/>
      <c r="M114" s="86"/>
      <c r="N114" s="86"/>
      <c r="O114" s="86"/>
      <c r="P114" s="86"/>
      <c r="Q114" s="86"/>
      <c r="R114" s="86"/>
      <c r="S114" s="86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78"/>
      <c r="AE114" s="78"/>
      <c r="AF114" s="78"/>
      <c r="AG114" s="88"/>
      <c r="AH114" s="78"/>
      <c r="AI114" s="78"/>
      <c r="AJ114" s="95" t="str">
        <f>IF(P114="","",IFERROR(ROUND(IF(OR(P114="G0B",P114="G0T"),Tabelle5[[#This Row],[AI]]/SUM(LER_01!$L$26:$L$27),Tabelle5[[#This Row],[AI]]/(SUM(LER_01!$K$26:$K$27)+IF(LER_01!$D$10&gt;=4,SUM(LER_01!$M$26:$M$27)))),3),""))</f>
        <v/>
      </c>
      <c r="AK114" s="91" t="str">
        <f>IF(P114="","",IF(OR(P114="SOV",P114="SOB",P114="G0T",P114="G0B"),"",IF(AND(OR(P114="BSS",P114="BFS"),LER_01!$D$10&lt;=2),15%,IF(AND(OR(P114="BSN",P114="BFN"),LER_01!$D$10&gt;=4),100%,25%))))</f>
        <v/>
      </c>
      <c r="AL114" s="77"/>
      <c r="AM114" s="78"/>
      <c r="AN114" s="78"/>
      <c r="AO114" s="79"/>
      <c r="AP114" s="94"/>
      <c r="AQ114" s="31"/>
      <c r="AR114" s="20"/>
      <c r="AS114" s="32" t="str">
        <f t="shared" si="12"/>
        <v/>
      </c>
      <c r="AT114" s="32" t="str">
        <f t="shared" si="13"/>
        <v/>
      </c>
      <c r="AU114" s="32" t="str">
        <f t="shared" si="14"/>
        <v/>
      </c>
      <c r="AV114" s="32" t="str">
        <f t="shared" si="15"/>
        <v/>
      </c>
      <c r="AW114" s="32" t="str">
        <f t="shared" si="16"/>
        <v/>
      </c>
      <c r="AX114" s="32" t="str">
        <f t="shared" si="17"/>
        <v/>
      </c>
      <c r="AY114" s="32" t="str">
        <f t="shared" si="18"/>
        <v/>
      </c>
      <c r="AZ114" s="32" t="str">
        <f t="shared" si="19"/>
        <v/>
      </c>
      <c r="BA114" s="32" t="str">
        <f t="shared" si="20"/>
        <v/>
      </c>
      <c r="BB114" s="32" t="str">
        <f t="shared" si="21"/>
        <v/>
      </c>
      <c r="BC114" s="32" t="str">
        <f>IF(ISBLANK(O114),"",IF(ISBLANK(AO114),"",IF(AO114&gt;='Delivery Note'!$H$5,IF(AO114&lt;='Delivery Note'!$H$5+92,"","ERROR"),"ERROR")))</f>
        <v/>
      </c>
      <c r="BD114" s="32" t="str">
        <f t="shared" si="22"/>
        <v/>
      </c>
      <c r="BE114" s="32" t="str">
        <f t="shared" si="23"/>
        <v/>
      </c>
    </row>
    <row r="115" spans="2:57" x14ac:dyDescent="0.2">
      <c r="B115" s="20"/>
      <c r="C115" s="53"/>
      <c r="E115" s="31">
        <v>115</v>
      </c>
      <c r="F115" s="47"/>
      <c r="G115" s="47"/>
      <c r="H115" s="47"/>
      <c r="I115" s="47"/>
      <c r="J115" s="76"/>
      <c r="K115" s="93"/>
      <c r="L115" s="86"/>
      <c r="M115" s="86"/>
      <c r="N115" s="86"/>
      <c r="O115" s="86"/>
      <c r="P115" s="86"/>
      <c r="Q115" s="86"/>
      <c r="R115" s="86"/>
      <c r="S115" s="86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78"/>
      <c r="AE115" s="78"/>
      <c r="AF115" s="78"/>
      <c r="AG115" s="88"/>
      <c r="AH115" s="78"/>
      <c r="AI115" s="78"/>
      <c r="AJ115" s="95" t="str">
        <f>IF(P115="","",IFERROR(ROUND(IF(OR(P115="G0B",P115="G0T"),Tabelle5[[#This Row],[AI]]/SUM(LER_01!$L$26:$L$27),Tabelle5[[#This Row],[AI]]/(SUM(LER_01!$K$26:$K$27)+IF(LER_01!$D$10&gt;=4,SUM(LER_01!$M$26:$M$27)))),3),""))</f>
        <v/>
      </c>
      <c r="AK115" s="91" t="str">
        <f>IF(P115="","",IF(OR(P115="SOV",P115="SOB",P115="G0T",P115="G0B"),"",IF(AND(OR(P115="BSS",P115="BFS"),LER_01!$D$10&lt;=2),15%,IF(AND(OR(P115="BSN",P115="BFN"),LER_01!$D$10&gt;=4),100%,25%))))</f>
        <v/>
      </c>
      <c r="AL115" s="77"/>
      <c r="AM115" s="78"/>
      <c r="AN115" s="78"/>
      <c r="AO115" s="79"/>
      <c r="AP115" s="94"/>
      <c r="AQ115" s="31"/>
      <c r="AR115" s="20"/>
      <c r="AS115" s="32" t="str">
        <f t="shared" si="12"/>
        <v/>
      </c>
      <c r="AT115" s="32" t="str">
        <f t="shared" si="13"/>
        <v/>
      </c>
      <c r="AU115" s="32" t="str">
        <f t="shared" si="14"/>
        <v/>
      </c>
      <c r="AV115" s="32" t="str">
        <f t="shared" si="15"/>
        <v/>
      </c>
      <c r="AW115" s="32" t="str">
        <f t="shared" si="16"/>
        <v/>
      </c>
      <c r="AX115" s="32" t="str">
        <f t="shared" si="17"/>
        <v/>
      </c>
      <c r="AY115" s="32" t="str">
        <f t="shared" si="18"/>
        <v/>
      </c>
      <c r="AZ115" s="32" t="str">
        <f t="shared" si="19"/>
        <v/>
      </c>
      <c r="BA115" s="32" t="str">
        <f t="shared" si="20"/>
        <v/>
      </c>
      <c r="BB115" s="32" t="str">
        <f t="shared" si="21"/>
        <v/>
      </c>
      <c r="BC115" s="32" t="str">
        <f>IF(ISBLANK(O115),"",IF(ISBLANK(AO115),"",IF(AO115&gt;='Delivery Note'!$H$5,IF(AO115&lt;='Delivery Note'!$H$5+92,"","ERROR"),"ERROR")))</f>
        <v/>
      </c>
      <c r="BD115" s="32" t="str">
        <f t="shared" si="22"/>
        <v/>
      </c>
      <c r="BE115" s="32" t="str">
        <f t="shared" si="23"/>
        <v/>
      </c>
    </row>
    <row r="116" spans="2:57" x14ac:dyDescent="0.2">
      <c r="B116" s="20"/>
      <c r="C116" s="53"/>
      <c r="E116" s="31">
        <v>116</v>
      </c>
      <c r="F116" s="47"/>
      <c r="G116" s="47"/>
      <c r="H116" s="47"/>
      <c r="I116" s="47"/>
      <c r="J116" s="76"/>
      <c r="K116" s="93"/>
      <c r="L116" s="86"/>
      <c r="M116" s="86"/>
      <c r="N116" s="86"/>
      <c r="O116" s="86"/>
      <c r="P116" s="86"/>
      <c r="Q116" s="86"/>
      <c r="R116" s="86"/>
      <c r="S116" s="86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78"/>
      <c r="AE116" s="78"/>
      <c r="AF116" s="78"/>
      <c r="AG116" s="88"/>
      <c r="AH116" s="78"/>
      <c r="AI116" s="78"/>
      <c r="AJ116" s="95" t="str">
        <f>IF(P116="","",IFERROR(ROUND(IF(OR(P116="G0B",P116="G0T"),Tabelle5[[#This Row],[AI]]/SUM(LER_01!$L$26:$L$27),Tabelle5[[#This Row],[AI]]/(SUM(LER_01!$K$26:$K$27)+IF(LER_01!$D$10&gt;=4,SUM(LER_01!$M$26:$M$27)))),3),""))</f>
        <v/>
      </c>
      <c r="AK116" s="91" t="str">
        <f>IF(P116="","",IF(OR(P116="SOV",P116="SOB",P116="G0T",P116="G0B"),"",IF(AND(OR(P116="BSS",P116="BFS"),LER_01!$D$10&lt;=2),15%,IF(AND(OR(P116="BSN",P116="BFN"),LER_01!$D$10&gt;=4),100%,25%))))</f>
        <v/>
      </c>
      <c r="AL116" s="77"/>
      <c r="AM116" s="78"/>
      <c r="AN116" s="78"/>
      <c r="AO116" s="79"/>
      <c r="AP116" s="94"/>
      <c r="AQ116" s="31"/>
      <c r="AR116" s="20"/>
      <c r="AS116" s="32" t="str">
        <f t="shared" si="12"/>
        <v/>
      </c>
      <c r="AT116" s="32" t="str">
        <f t="shared" si="13"/>
        <v/>
      </c>
      <c r="AU116" s="32" t="str">
        <f t="shared" si="14"/>
        <v/>
      </c>
      <c r="AV116" s="32" t="str">
        <f t="shared" si="15"/>
        <v/>
      </c>
      <c r="AW116" s="32" t="str">
        <f t="shared" si="16"/>
        <v/>
      </c>
      <c r="AX116" s="32" t="str">
        <f t="shared" si="17"/>
        <v/>
      </c>
      <c r="AY116" s="32" t="str">
        <f t="shared" si="18"/>
        <v/>
      </c>
      <c r="AZ116" s="32" t="str">
        <f t="shared" si="19"/>
        <v/>
      </c>
      <c r="BA116" s="32" t="str">
        <f t="shared" si="20"/>
        <v/>
      </c>
      <c r="BB116" s="32" t="str">
        <f t="shared" si="21"/>
        <v/>
      </c>
      <c r="BC116" s="32" t="str">
        <f>IF(ISBLANK(O116),"",IF(ISBLANK(AO116),"",IF(AO116&gt;='Delivery Note'!$H$5,IF(AO116&lt;='Delivery Note'!$H$5+92,"","ERROR"),"ERROR")))</f>
        <v/>
      </c>
      <c r="BD116" s="32" t="str">
        <f t="shared" si="22"/>
        <v/>
      </c>
      <c r="BE116" s="32" t="str">
        <f t="shared" si="23"/>
        <v/>
      </c>
    </row>
    <row r="117" spans="2:57" x14ac:dyDescent="0.2">
      <c r="B117" s="20"/>
      <c r="C117" s="53"/>
      <c r="E117" s="31">
        <v>117</v>
      </c>
      <c r="F117" s="47"/>
      <c r="G117" s="47"/>
      <c r="H117" s="47"/>
      <c r="I117" s="47"/>
      <c r="J117" s="76"/>
      <c r="K117" s="93"/>
      <c r="L117" s="86"/>
      <c r="M117" s="86"/>
      <c r="N117" s="86"/>
      <c r="O117" s="86"/>
      <c r="P117" s="86"/>
      <c r="Q117" s="86"/>
      <c r="R117" s="86"/>
      <c r="S117" s="86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78"/>
      <c r="AE117" s="78"/>
      <c r="AF117" s="78"/>
      <c r="AG117" s="88"/>
      <c r="AH117" s="78"/>
      <c r="AI117" s="78"/>
      <c r="AJ117" s="95" t="str">
        <f>IF(P117="","",IFERROR(ROUND(IF(OR(P117="G0B",P117="G0T"),Tabelle5[[#This Row],[AI]]/SUM(LER_01!$L$26:$L$27),Tabelle5[[#This Row],[AI]]/(SUM(LER_01!$K$26:$K$27)+IF(LER_01!$D$10&gt;=4,SUM(LER_01!$M$26:$M$27)))),3),""))</f>
        <v/>
      </c>
      <c r="AK117" s="91" t="str">
        <f>IF(P117="","",IF(OR(P117="SOV",P117="SOB",P117="G0T",P117="G0B"),"",IF(AND(OR(P117="BSS",P117="BFS"),LER_01!$D$10&lt;=2),15%,IF(AND(OR(P117="BSN",P117="BFN"),LER_01!$D$10&gt;=4),100%,25%))))</f>
        <v/>
      </c>
      <c r="AL117" s="77"/>
      <c r="AM117" s="78"/>
      <c r="AN117" s="78"/>
      <c r="AO117" s="79"/>
      <c r="AP117" s="94"/>
      <c r="AQ117" s="31"/>
      <c r="AR117" s="20"/>
      <c r="AS117" s="32" t="str">
        <f t="shared" si="12"/>
        <v/>
      </c>
      <c r="AT117" s="32" t="str">
        <f t="shared" si="13"/>
        <v/>
      </c>
      <c r="AU117" s="32" t="str">
        <f t="shared" si="14"/>
        <v/>
      </c>
      <c r="AV117" s="32" t="str">
        <f t="shared" si="15"/>
        <v/>
      </c>
      <c r="AW117" s="32" t="str">
        <f t="shared" si="16"/>
        <v/>
      </c>
      <c r="AX117" s="32" t="str">
        <f t="shared" si="17"/>
        <v/>
      </c>
      <c r="AY117" s="32" t="str">
        <f t="shared" si="18"/>
        <v/>
      </c>
      <c r="AZ117" s="32" t="str">
        <f t="shared" si="19"/>
        <v/>
      </c>
      <c r="BA117" s="32" t="str">
        <f t="shared" si="20"/>
        <v/>
      </c>
      <c r="BB117" s="32" t="str">
        <f t="shared" si="21"/>
        <v/>
      </c>
      <c r="BC117" s="32" t="str">
        <f>IF(ISBLANK(O117),"",IF(ISBLANK(AO117),"",IF(AO117&gt;='Delivery Note'!$H$5,IF(AO117&lt;='Delivery Note'!$H$5+92,"","ERROR"),"ERROR")))</f>
        <v/>
      </c>
      <c r="BD117" s="32" t="str">
        <f t="shared" si="22"/>
        <v/>
      </c>
      <c r="BE117" s="32" t="str">
        <f t="shared" si="23"/>
        <v/>
      </c>
    </row>
    <row r="118" spans="2:57" x14ac:dyDescent="0.2">
      <c r="B118" s="20"/>
      <c r="C118" s="53"/>
      <c r="E118" s="31">
        <v>118</v>
      </c>
      <c r="F118" s="47"/>
      <c r="G118" s="47"/>
      <c r="H118" s="47"/>
      <c r="I118" s="47"/>
      <c r="J118" s="76"/>
      <c r="K118" s="93"/>
      <c r="L118" s="86"/>
      <c r="M118" s="86"/>
      <c r="N118" s="86"/>
      <c r="O118" s="86"/>
      <c r="P118" s="86"/>
      <c r="Q118" s="86"/>
      <c r="R118" s="86"/>
      <c r="S118" s="86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78"/>
      <c r="AE118" s="78"/>
      <c r="AF118" s="78"/>
      <c r="AG118" s="88"/>
      <c r="AH118" s="78"/>
      <c r="AI118" s="78"/>
      <c r="AJ118" s="95" t="str">
        <f>IF(P118="","",IFERROR(ROUND(IF(OR(P118="G0B",P118="G0T"),Tabelle5[[#This Row],[AI]]/SUM(LER_01!$L$26:$L$27),Tabelle5[[#This Row],[AI]]/(SUM(LER_01!$K$26:$K$27)+IF(LER_01!$D$10&gt;=4,SUM(LER_01!$M$26:$M$27)))),3),""))</f>
        <v/>
      </c>
      <c r="AK118" s="91" t="str">
        <f>IF(P118="","",IF(OR(P118="SOV",P118="SOB",P118="G0T",P118="G0B"),"",IF(AND(OR(P118="BSS",P118="BFS"),LER_01!$D$10&lt;=2),15%,IF(AND(OR(P118="BSN",P118="BFN"),LER_01!$D$10&gt;=4),100%,25%))))</f>
        <v/>
      </c>
      <c r="AL118" s="77"/>
      <c r="AM118" s="78"/>
      <c r="AN118" s="78"/>
      <c r="AO118" s="79"/>
      <c r="AP118" s="94"/>
      <c r="AQ118" s="31"/>
      <c r="AR118" s="20"/>
      <c r="AS118" s="32" t="str">
        <f t="shared" si="12"/>
        <v/>
      </c>
      <c r="AT118" s="32" t="str">
        <f t="shared" si="13"/>
        <v/>
      </c>
      <c r="AU118" s="32" t="str">
        <f t="shared" si="14"/>
        <v/>
      </c>
      <c r="AV118" s="32" t="str">
        <f t="shared" si="15"/>
        <v/>
      </c>
      <c r="AW118" s="32" t="str">
        <f t="shared" si="16"/>
        <v/>
      </c>
      <c r="AX118" s="32" t="str">
        <f t="shared" si="17"/>
        <v/>
      </c>
      <c r="AY118" s="32" t="str">
        <f t="shared" si="18"/>
        <v/>
      </c>
      <c r="AZ118" s="32" t="str">
        <f t="shared" si="19"/>
        <v/>
      </c>
      <c r="BA118" s="32" t="str">
        <f t="shared" si="20"/>
        <v/>
      </c>
      <c r="BB118" s="32" t="str">
        <f t="shared" si="21"/>
        <v/>
      </c>
      <c r="BC118" s="32" t="str">
        <f>IF(ISBLANK(O118),"",IF(ISBLANK(AO118),"",IF(AO118&gt;='Delivery Note'!$H$5,IF(AO118&lt;='Delivery Note'!$H$5+92,"","ERROR"),"ERROR")))</f>
        <v/>
      </c>
      <c r="BD118" s="32" t="str">
        <f t="shared" si="22"/>
        <v/>
      </c>
      <c r="BE118" s="32" t="str">
        <f t="shared" si="23"/>
        <v/>
      </c>
    </row>
    <row r="119" spans="2:57" x14ac:dyDescent="0.2">
      <c r="B119" s="20"/>
      <c r="C119" s="53"/>
      <c r="E119" s="31">
        <v>119</v>
      </c>
      <c r="F119" s="47"/>
      <c r="G119" s="47"/>
      <c r="H119" s="47"/>
      <c r="I119" s="47"/>
      <c r="J119" s="76"/>
      <c r="K119" s="93"/>
      <c r="L119" s="86"/>
      <c r="M119" s="86"/>
      <c r="N119" s="86"/>
      <c r="O119" s="86"/>
      <c r="P119" s="86"/>
      <c r="Q119" s="86"/>
      <c r="R119" s="86"/>
      <c r="S119" s="86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78"/>
      <c r="AE119" s="78"/>
      <c r="AF119" s="78"/>
      <c r="AG119" s="88"/>
      <c r="AH119" s="78"/>
      <c r="AI119" s="78"/>
      <c r="AJ119" s="95" t="str">
        <f>IF(P119="","",IFERROR(ROUND(IF(OR(P119="G0B",P119="G0T"),Tabelle5[[#This Row],[AI]]/SUM(LER_01!$L$26:$L$27),Tabelle5[[#This Row],[AI]]/(SUM(LER_01!$K$26:$K$27)+IF(LER_01!$D$10&gt;=4,SUM(LER_01!$M$26:$M$27)))),3),""))</f>
        <v/>
      </c>
      <c r="AK119" s="91" t="str">
        <f>IF(P119="","",IF(OR(P119="SOV",P119="SOB",P119="G0T",P119="G0B"),"",IF(AND(OR(P119="BSS",P119="BFS"),LER_01!$D$10&lt;=2),15%,IF(AND(OR(P119="BSN",P119="BFN"),LER_01!$D$10&gt;=4),100%,25%))))</f>
        <v/>
      </c>
      <c r="AL119" s="77"/>
      <c r="AM119" s="78"/>
      <c r="AN119" s="78"/>
      <c r="AO119" s="79"/>
      <c r="AP119" s="94"/>
      <c r="AQ119" s="31"/>
      <c r="AR119" s="20"/>
      <c r="AS119" s="32" t="str">
        <f t="shared" si="12"/>
        <v/>
      </c>
      <c r="AT119" s="32" t="str">
        <f t="shared" si="13"/>
        <v/>
      </c>
      <c r="AU119" s="32" t="str">
        <f t="shared" si="14"/>
        <v/>
      </c>
      <c r="AV119" s="32" t="str">
        <f t="shared" si="15"/>
        <v/>
      </c>
      <c r="AW119" s="32" t="str">
        <f t="shared" si="16"/>
        <v/>
      </c>
      <c r="AX119" s="32" t="str">
        <f t="shared" si="17"/>
        <v/>
      </c>
      <c r="AY119" s="32" t="str">
        <f t="shared" si="18"/>
        <v/>
      </c>
      <c r="AZ119" s="32" t="str">
        <f t="shared" si="19"/>
        <v/>
      </c>
      <c r="BA119" s="32" t="str">
        <f t="shared" si="20"/>
        <v/>
      </c>
      <c r="BB119" s="32" t="str">
        <f t="shared" si="21"/>
        <v/>
      </c>
      <c r="BC119" s="32" t="str">
        <f>IF(ISBLANK(O119),"",IF(ISBLANK(AO119),"",IF(AO119&gt;='Delivery Note'!$H$5,IF(AO119&lt;='Delivery Note'!$H$5+92,"","ERROR"),"ERROR")))</f>
        <v/>
      </c>
      <c r="BD119" s="32" t="str">
        <f t="shared" si="22"/>
        <v/>
      </c>
      <c r="BE119" s="32" t="str">
        <f t="shared" si="23"/>
        <v/>
      </c>
    </row>
    <row r="120" spans="2:57" x14ac:dyDescent="0.2">
      <c r="B120" s="20"/>
      <c r="C120" s="53"/>
      <c r="E120" s="31">
        <v>120</v>
      </c>
      <c r="F120" s="47"/>
      <c r="G120" s="47"/>
      <c r="H120" s="47"/>
      <c r="I120" s="47"/>
      <c r="J120" s="76"/>
      <c r="K120" s="93"/>
      <c r="L120" s="86"/>
      <c r="M120" s="86"/>
      <c r="N120" s="86"/>
      <c r="O120" s="86"/>
      <c r="P120" s="86"/>
      <c r="Q120" s="86"/>
      <c r="R120" s="86"/>
      <c r="S120" s="86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78"/>
      <c r="AE120" s="78"/>
      <c r="AF120" s="78"/>
      <c r="AG120" s="88"/>
      <c r="AH120" s="78"/>
      <c r="AI120" s="78"/>
      <c r="AJ120" s="95" t="str">
        <f>IF(P120="","",IFERROR(ROUND(IF(OR(P120="G0B",P120="G0T"),Tabelle5[[#This Row],[AI]]/SUM(LER_01!$L$26:$L$27),Tabelle5[[#This Row],[AI]]/(SUM(LER_01!$K$26:$K$27)+IF(LER_01!$D$10&gt;=4,SUM(LER_01!$M$26:$M$27)))),3),""))</f>
        <v/>
      </c>
      <c r="AK120" s="91" t="str">
        <f>IF(P120="","",IF(OR(P120="SOV",P120="SOB",P120="G0T",P120="G0B"),"",IF(AND(OR(P120="BSS",P120="BFS"),LER_01!$D$10&lt;=2),15%,IF(AND(OR(P120="BSN",P120="BFN"),LER_01!$D$10&gt;=4),100%,25%))))</f>
        <v/>
      </c>
      <c r="AL120" s="77"/>
      <c r="AM120" s="78"/>
      <c r="AN120" s="78"/>
      <c r="AO120" s="79"/>
      <c r="AP120" s="94"/>
      <c r="AQ120" s="31"/>
      <c r="AR120" s="20"/>
      <c r="AS120" s="32" t="str">
        <f t="shared" si="12"/>
        <v/>
      </c>
      <c r="AT120" s="32" t="str">
        <f t="shared" si="13"/>
        <v/>
      </c>
      <c r="AU120" s="32" t="str">
        <f t="shared" si="14"/>
        <v/>
      </c>
      <c r="AV120" s="32" t="str">
        <f t="shared" si="15"/>
        <v/>
      </c>
      <c r="AW120" s="32" t="str">
        <f t="shared" si="16"/>
        <v/>
      </c>
      <c r="AX120" s="32" t="str">
        <f t="shared" si="17"/>
        <v/>
      </c>
      <c r="AY120" s="32" t="str">
        <f t="shared" si="18"/>
        <v/>
      </c>
      <c r="AZ120" s="32" t="str">
        <f t="shared" si="19"/>
        <v/>
      </c>
      <c r="BA120" s="32" t="str">
        <f t="shared" si="20"/>
        <v/>
      </c>
      <c r="BB120" s="32" t="str">
        <f t="shared" si="21"/>
        <v/>
      </c>
      <c r="BC120" s="32" t="str">
        <f>IF(ISBLANK(O120),"",IF(ISBLANK(AO120),"",IF(AO120&gt;='Delivery Note'!$H$5,IF(AO120&lt;='Delivery Note'!$H$5+92,"","ERROR"),"ERROR")))</f>
        <v/>
      </c>
      <c r="BD120" s="32" t="str">
        <f t="shared" si="22"/>
        <v/>
      </c>
      <c r="BE120" s="32" t="str">
        <f t="shared" si="23"/>
        <v/>
      </c>
    </row>
    <row r="121" spans="2:57" x14ac:dyDescent="0.2">
      <c r="B121" s="20"/>
      <c r="C121" s="53"/>
      <c r="E121" s="31">
        <v>121</v>
      </c>
      <c r="F121" s="47"/>
      <c r="G121" s="47"/>
      <c r="H121" s="47"/>
      <c r="I121" s="47"/>
      <c r="J121" s="76"/>
      <c r="K121" s="93"/>
      <c r="L121" s="86"/>
      <c r="M121" s="86"/>
      <c r="N121" s="86"/>
      <c r="O121" s="86"/>
      <c r="P121" s="86"/>
      <c r="Q121" s="86"/>
      <c r="R121" s="86"/>
      <c r="S121" s="86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78"/>
      <c r="AE121" s="78"/>
      <c r="AF121" s="78"/>
      <c r="AG121" s="88"/>
      <c r="AH121" s="78"/>
      <c r="AI121" s="78"/>
      <c r="AJ121" s="95" t="str">
        <f>IF(P121="","",IFERROR(ROUND(IF(OR(P121="G0B",P121="G0T"),Tabelle5[[#This Row],[AI]]/SUM(LER_01!$L$26:$L$27),Tabelle5[[#This Row],[AI]]/(SUM(LER_01!$K$26:$K$27)+IF(LER_01!$D$10&gt;=4,SUM(LER_01!$M$26:$M$27)))),3),""))</f>
        <v/>
      </c>
      <c r="AK121" s="91" t="str">
        <f>IF(P121="","",IF(OR(P121="SOV",P121="SOB",P121="G0T",P121="G0B"),"",IF(AND(OR(P121="BSS",P121="BFS"),LER_01!$D$10&lt;=2),15%,IF(AND(OR(P121="BSN",P121="BFN"),LER_01!$D$10&gt;=4),100%,25%))))</f>
        <v/>
      </c>
      <c r="AL121" s="77"/>
      <c r="AM121" s="78"/>
      <c r="AN121" s="78"/>
      <c r="AO121" s="79"/>
      <c r="AP121" s="94"/>
      <c r="AQ121" s="31"/>
      <c r="AR121" s="20"/>
      <c r="AS121" s="32" t="str">
        <f t="shared" si="12"/>
        <v/>
      </c>
      <c r="AT121" s="32" t="str">
        <f t="shared" si="13"/>
        <v/>
      </c>
      <c r="AU121" s="32" t="str">
        <f t="shared" si="14"/>
        <v/>
      </c>
      <c r="AV121" s="32" t="str">
        <f t="shared" si="15"/>
        <v/>
      </c>
      <c r="AW121" s="32" t="str">
        <f t="shared" si="16"/>
        <v/>
      </c>
      <c r="AX121" s="32" t="str">
        <f t="shared" si="17"/>
        <v/>
      </c>
      <c r="AY121" s="32" t="str">
        <f t="shared" si="18"/>
        <v/>
      </c>
      <c r="AZ121" s="32" t="str">
        <f t="shared" si="19"/>
        <v/>
      </c>
      <c r="BA121" s="32" t="str">
        <f t="shared" si="20"/>
        <v/>
      </c>
      <c r="BB121" s="32" t="str">
        <f t="shared" si="21"/>
        <v/>
      </c>
      <c r="BC121" s="32" t="str">
        <f>IF(ISBLANK(O121),"",IF(ISBLANK(AO121),"",IF(AO121&gt;='Delivery Note'!$H$5,IF(AO121&lt;='Delivery Note'!$H$5+92,"","ERROR"),"ERROR")))</f>
        <v/>
      </c>
      <c r="BD121" s="32" t="str">
        <f t="shared" si="22"/>
        <v/>
      </c>
      <c r="BE121" s="32" t="str">
        <f t="shared" si="23"/>
        <v/>
      </c>
    </row>
    <row r="122" spans="2:57" x14ac:dyDescent="0.2">
      <c r="B122" s="20"/>
      <c r="C122" s="53"/>
      <c r="E122" s="31">
        <v>122</v>
      </c>
      <c r="F122" s="47"/>
      <c r="G122" s="47"/>
      <c r="H122" s="47"/>
      <c r="I122" s="47"/>
      <c r="J122" s="76"/>
      <c r="K122" s="93"/>
      <c r="L122" s="86"/>
      <c r="M122" s="86"/>
      <c r="N122" s="86"/>
      <c r="O122" s="86"/>
      <c r="P122" s="86"/>
      <c r="Q122" s="86"/>
      <c r="R122" s="86"/>
      <c r="S122" s="86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78"/>
      <c r="AE122" s="78"/>
      <c r="AF122" s="78"/>
      <c r="AG122" s="88"/>
      <c r="AH122" s="78"/>
      <c r="AI122" s="78"/>
      <c r="AJ122" s="95" t="str">
        <f>IF(P122="","",IFERROR(ROUND(IF(OR(P122="G0B",P122="G0T"),Tabelle5[[#This Row],[AI]]/SUM(LER_01!$L$26:$L$27),Tabelle5[[#This Row],[AI]]/(SUM(LER_01!$K$26:$K$27)+IF(LER_01!$D$10&gt;=4,SUM(LER_01!$M$26:$M$27)))),3),""))</f>
        <v/>
      </c>
      <c r="AK122" s="91" t="str">
        <f>IF(P122="","",IF(OR(P122="SOV",P122="SOB",P122="G0T",P122="G0B"),"",IF(AND(OR(P122="BSS",P122="BFS"),LER_01!$D$10&lt;=2),15%,IF(AND(OR(P122="BSN",P122="BFN"),LER_01!$D$10&gt;=4),100%,25%))))</f>
        <v/>
      </c>
      <c r="AL122" s="77"/>
      <c r="AM122" s="78"/>
      <c r="AN122" s="78"/>
      <c r="AO122" s="79"/>
      <c r="AP122" s="94"/>
      <c r="AQ122" s="31"/>
      <c r="AR122" s="20"/>
      <c r="AS122" s="32" t="str">
        <f t="shared" si="12"/>
        <v/>
      </c>
      <c r="AT122" s="32" t="str">
        <f t="shared" si="13"/>
        <v/>
      </c>
      <c r="AU122" s="32" t="str">
        <f t="shared" si="14"/>
        <v/>
      </c>
      <c r="AV122" s="32" t="str">
        <f t="shared" si="15"/>
        <v/>
      </c>
      <c r="AW122" s="32" t="str">
        <f t="shared" si="16"/>
        <v/>
      </c>
      <c r="AX122" s="32" t="str">
        <f t="shared" si="17"/>
        <v/>
      </c>
      <c r="AY122" s="32" t="str">
        <f t="shared" si="18"/>
        <v/>
      </c>
      <c r="AZ122" s="32" t="str">
        <f t="shared" si="19"/>
        <v/>
      </c>
      <c r="BA122" s="32" t="str">
        <f t="shared" si="20"/>
        <v/>
      </c>
      <c r="BB122" s="32" t="str">
        <f t="shared" si="21"/>
        <v/>
      </c>
      <c r="BC122" s="32" t="str">
        <f>IF(ISBLANK(O122),"",IF(ISBLANK(AO122),"",IF(AO122&gt;='Delivery Note'!$H$5,IF(AO122&lt;='Delivery Note'!$H$5+92,"","ERROR"),"ERROR")))</f>
        <v/>
      </c>
      <c r="BD122" s="32" t="str">
        <f t="shared" si="22"/>
        <v/>
      </c>
      <c r="BE122" s="32" t="str">
        <f t="shared" si="23"/>
        <v/>
      </c>
    </row>
    <row r="123" spans="2:57" x14ac:dyDescent="0.2">
      <c r="B123" s="20"/>
      <c r="C123" s="53"/>
      <c r="E123" s="31">
        <v>123</v>
      </c>
      <c r="F123" s="47"/>
      <c r="G123" s="47"/>
      <c r="H123" s="47"/>
      <c r="I123" s="47"/>
      <c r="J123" s="76"/>
      <c r="K123" s="93"/>
      <c r="L123" s="86"/>
      <c r="M123" s="86"/>
      <c r="N123" s="86"/>
      <c r="O123" s="86"/>
      <c r="P123" s="86"/>
      <c r="Q123" s="86"/>
      <c r="R123" s="86"/>
      <c r="S123" s="86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78"/>
      <c r="AE123" s="78"/>
      <c r="AF123" s="78"/>
      <c r="AG123" s="88"/>
      <c r="AH123" s="78"/>
      <c r="AI123" s="78"/>
      <c r="AJ123" s="95" t="str">
        <f>IF(P123="","",IFERROR(ROUND(IF(OR(P123="G0B",P123="G0T"),Tabelle5[[#This Row],[AI]]/SUM(LER_01!$L$26:$L$27),Tabelle5[[#This Row],[AI]]/(SUM(LER_01!$K$26:$K$27)+IF(LER_01!$D$10&gt;=4,SUM(LER_01!$M$26:$M$27)))),3),""))</f>
        <v/>
      </c>
      <c r="AK123" s="91" t="str">
        <f>IF(P123="","",IF(OR(P123="SOV",P123="SOB",P123="G0T",P123="G0B"),"",IF(AND(OR(P123="BSS",P123="BFS"),LER_01!$D$10&lt;=2),15%,IF(AND(OR(P123="BSN",P123="BFN"),LER_01!$D$10&gt;=4),100%,25%))))</f>
        <v/>
      </c>
      <c r="AL123" s="77"/>
      <c r="AM123" s="78"/>
      <c r="AN123" s="78"/>
      <c r="AO123" s="79"/>
      <c r="AP123" s="94"/>
      <c r="AQ123" s="31"/>
      <c r="AR123" s="20"/>
      <c r="AS123" s="32" t="str">
        <f t="shared" si="12"/>
        <v/>
      </c>
      <c r="AT123" s="32" t="str">
        <f t="shared" si="13"/>
        <v/>
      </c>
      <c r="AU123" s="32" t="str">
        <f t="shared" si="14"/>
        <v/>
      </c>
      <c r="AV123" s="32" t="str">
        <f t="shared" si="15"/>
        <v/>
      </c>
      <c r="AW123" s="32" t="str">
        <f t="shared" si="16"/>
        <v/>
      </c>
      <c r="AX123" s="32" t="str">
        <f t="shared" si="17"/>
        <v/>
      </c>
      <c r="AY123" s="32" t="str">
        <f t="shared" si="18"/>
        <v/>
      </c>
      <c r="AZ123" s="32" t="str">
        <f t="shared" si="19"/>
        <v/>
      </c>
      <c r="BA123" s="32" t="str">
        <f t="shared" si="20"/>
        <v/>
      </c>
      <c r="BB123" s="32" t="str">
        <f t="shared" si="21"/>
        <v/>
      </c>
      <c r="BC123" s="32" t="str">
        <f>IF(ISBLANK(O123),"",IF(ISBLANK(AO123),"",IF(AO123&gt;='Delivery Note'!$H$5,IF(AO123&lt;='Delivery Note'!$H$5+92,"","ERROR"),"ERROR")))</f>
        <v/>
      </c>
      <c r="BD123" s="32" t="str">
        <f t="shared" si="22"/>
        <v/>
      </c>
      <c r="BE123" s="32" t="str">
        <f t="shared" si="23"/>
        <v/>
      </c>
    </row>
    <row r="124" spans="2:57" x14ac:dyDescent="0.2">
      <c r="B124" s="20"/>
      <c r="C124" s="53"/>
      <c r="E124" s="31">
        <v>124</v>
      </c>
      <c r="F124" s="47"/>
      <c r="G124" s="47"/>
      <c r="H124" s="47"/>
      <c r="I124" s="47"/>
      <c r="J124" s="76"/>
      <c r="K124" s="93"/>
      <c r="L124" s="86"/>
      <c r="M124" s="86"/>
      <c r="N124" s="86"/>
      <c r="O124" s="86"/>
      <c r="P124" s="86"/>
      <c r="Q124" s="86"/>
      <c r="R124" s="86"/>
      <c r="S124" s="86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78"/>
      <c r="AE124" s="78"/>
      <c r="AF124" s="78"/>
      <c r="AG124" s="88"/>
      <c r="AH124" s="78"/>
      <c r="AI124" s="78"/>
      <c r="AJ124" s="95" t="str">
        <f>IF(P124="","",IFERROR(ROUND(IF(OR(P124="G0B",P124="G0T"),Tabelle5[[#This Row],[AI]]/SUM(LER_01!$L$26:$L$27),Tabelle5[[#This Row],[AI]]/(SUM(LER_01!$K$26:$K$27)+IF(LER_01!$D$10&gt;=4,SUM(LER_01!$M$26:$M$27)))),3),""))</f>
        <v/>
      </c>
      <c r="AK124" s="91" t="str">
        <f>IF(P124="","",IF(OR(P124="SOV",P124="SOB",P124="G0T",P124="G0B"),"",IF(AND(OR(P124="BSS",P124="BFS"),LER_01!$D$10&lt;=2),15%,IF(AND(OR(P124="BSN",P124="BFN"),LER_01!$D$10&gt;=4),100%,25%))))</f>
        <v/>
      </c>
      <c r="AL124" s="77"/>
      <c r="AM124" s="78"/>
      <c r="AN124" s="78"/>
      <c r="AO124" s="79"/>
      <c r="AP124" s="94"/>
      <c r="AQ124" s="31"/>
      <c r="AR124" s="20"/>
      <c r="AS124" s="32" t="str">
        <f t="shared" si="12"/>
        <v/>
      </c>
      <c r="AT124" s="32" t="str">
        <f t="shared" si="13"/>
        <v/>
      </c>
      <c r="AU124" s="32" t="str">
        <f t="shared" si="14"/>
        <v/>
      </c>
      <c r="AV124" s="32" t="str">
        <f t="shared" si="15"/>
        <v/>
      </c>
      <c r="AW124" s="32" t="str">
        <f t="shared" si="16"/>
        <v/>
      </c>
      <c r="AX124" s="32" t="str">
        <f t="shared" si="17"/>
        <v/>
      </c>
      <c r="AY124" s="32" t="str">
        <f t="shared" si="18"/>
        <v/>
      </c>
      <c r="AZ124" s="32" t="str">
        <f t="shared" si="19"/>
        <v/>
      </c>
      <c r="BA124" s="32" t="str">
        <f t="shared" si="20"/>
        <v/>
      </c>
      <c r="BB124" s="32" t="str">
        <f t="shared" si="21"/>
        <v/>
      </c>
      <c r="BC124" s="32" t="str">
        <f>IF(ISBLANK(O124),"",IF(ISBLANK(AO124),"",IF(AO124&gt;='Delivery Note'!$H$5,IF(AO124&lt;='Delivery Note'!$H$5+92,"","ERROR"),"ERROR")))</f>
        <v/>
      </c>
      <c r="BD124" s="32" t="str">
        <f t="shared" si="22"/>
        <v/>
      </c>
      <c r="BE124" s="32" t="str">
        <f t="shared" si="23"/>
        <v/>
      </c>
    </row>
    <row r="125" spans="2:57" x14ac:dyDescent="0.2">
      <c r="B125" s="20"/>
      <c r="C125" s="53"/>
      <c r="E125" s="31">
        <v>125</v>
      </c>
      <c r="F125" s="47"/>
      <c r="G125" s="47"/>
      <c r="H125" s="47"/>
      <c r="I125" s="47"/>
      <c r="J125" s="76"/>
      <c r="K125" s="93"/>
      <c r="L125" s="86"/>
      <c r="M125" s="86"/>
      <c r="N125" s="86"/>
      <c r="O125" s="86"/>
      <c r="P125" s="86"/>
      <c r="Q125" s="86"/>
      <c r="R125" s="86"/>
      <c r="S125" s="86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78"/>
      <c r="AE125" s="78"/>
      <c r="AF125" s="78"/>
      <c r="AG125" s="88"/>
      <c r="AH125" s="78"/>
      <c r="AI125" s="78"/>
      <c r="AJ125" s="95" t="str">
        <f>IF(P125="","",IFERROR(ROUND(IF(OR(P125="G0B",P125="G0T"),Tabelle5[[#This Row],[AI]]/SUM(LER_01!$L$26:$L$27),Tabelle5[[#This Row],[AI]]/(SUM(LER_01!$K$26:$K$27)+IF(LER_01!$D$10&gt;=4,SUM(LER_01!$M$26:$M$27)))),3),""))</f>
        <v/>
      </c>
      <c r="AK125" s="91" t="str">
        <f>IF(P125="","",IF(OR(P125="SOV",P125="SOB",P125="G0T",P125="G0B"),"",IF(AND(OR(P125="BSS",P125="BFS"),LER_01!$D$10&lt;=2),15%,IF(AND(OR(P125="BSN",P125="BFN"),LER_01!$D$10&gt;=4),100%,25%))))</f>
        <v/>
      </c>
      <c r="AL125" s="77"/>
      <c r="AM125" s="78"/>
      <c r="AN125" s="78"/>
      <c r="AO125" s="79"/>
      <c r="AP125" s="94"/>
      <c r="AQ125" s="31"/>
      <c r="AR125" s="20"/>
      <c r="AS125" s="32" t="str">
        <f t="shared" si="12"/>
        <v/>
      </c>
      <c r="AT125" s="32" t="str">
        <f t="shared" si="13"/>
        <v/>
      </c>
      <c r="AU125" s="32" t="str">
        <f t="shared" si="14"/>
        <v/>
      </c>
      <c r="AV125" s="32" t="str">
        <f t="shared" si="15"/>
        <v/>
      </c>
      <c r="AW125" s="32" t="str">
        <f t="shared" si="16"/>
        <v/>
      </c>
      <c r="AX125" s="32" t="str">
        <f t="shared" si="17"/>
        <v/>
      </c>
      <c r="AY125" s="32" t="str">
        <f t="shared" si="18"/>
        <v/>
      </c>
      <c r="AZ125" s="32" t="str">
        <f t="shared" si="19"/>
        <v/>
      </c>
      <c r="BA125" s="32" t="str">
        <f t="shared" si="20"/>
        <v/>
      </c>
      <c r="BB125" s="32" t="str">
        <f t="shared" si="21"/>
        <v/>
      </c>
      <c r="BC125" s="32" t="str">
        <f>IF(ISBLANK(O125),"",IF(ISBLANK(AO125),"",IF(AO125&gt;='Delivery Note'!$H$5,IF(AO125&lt;='Delivery Note'!$H$5+92,"","ERROR"),"ERROR")))</f>
        <v/>
      </c>
      <c r="BD125" s="32" t="str">
        <f t="shared" si="22"/>
        <v/>
      </c>
      <c r="BE125" s="32" t="str">
        <f t="shared" si="23"/>
        <v/>
      </c>
    </row>
    <row r="126" spans="2:57" x14ac:dyDescent="0.2">
      <c r="B126" s="20"/>
      <c r="C126" s="53"/>
      <c r="E126" s="31">
        <v>126</v>
      </c>
      <c r="F126" s="47"/>
      <c r="G126" s="47"/>
      <c r="H126" s="47"/>
      <c r="I126" s="47"/>
      <c r="J126" s="76"/>
      <c r="K126" s="93"/>
      <c r="L126" s="86"/>
      <c r="M126" s="86"/>
      <c r="N126" s="86"/>
      <c r="O126" s="86"/>
      <c r="P126" s="86"/>
      <c r="Q126" s="86"/>
      <c r="R126" s="86"/>
      <c r="S126" s="86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78"/>
      <c r="AE126" s="78"/>
      <c r="AF126" s="78"/>
      <c r="AG126" s="88"/>
      <c r="AH126" s="78"/>
      <c r="AI126" s="78"/>
      <c r="AJ126" s="95" t="str">
        <f>IF(P126="","",IFERROR(ROUND(IF(OR(P126="G0B",P126="G0T"),Tabelle5[[#This Row],[AI]]/SUM(LER_01!$L$26:$L$27),Tabelle5[[#This Row],[AI]]/(SUM(LER_01!$K$26:$K$27)+IF(LER_01!$D$10&gt;=4,SUM(LER_01!$M$26:$M$27)))),3),""))</f>
        <v/>
      </c>
      <c r="AK126" s="91" t="str">
        <f>IF(P126="","",IF(OR(P126="SOV",P126="SOB",P126="G0T",P126="G0B"),"",IF(AND(OR(P126="BSS",P126="BFS"),LER_01!$D$10&lt;=2),15%,IF(AND(OR(P126="BSN",P126="BFN"),LER_01!$D$10&gt;=4),100%,25%))))</f>
        <v/>
      </c>
      <c r="AL126" s="77"/>
      <c r="AM126" s="78"/>
      <c r="AN126" s="78"/>
      <c r="AO126" s="79"/>
      <c r="AP126" s="94"/>
      <c r="AQ126" s="31"/>
      <c r="AR126" s="20"/>
      <c r="AS126" s="32" t="str">
        <f t="shared" si="12"/>
        <v/>
      </c>
      <c r="AT126" s="32" t="str">
        <f t="shared" si="13"/>
        <v/>
      </c>
      <c r="AU126" s="32" t="str">
        <f t="shared" si="14"/>
        <v/>
      </c>
      <c r="AV126" s="32" t="str">
        <f t="shared" si="15"/>
        <v/>
      </c>
      <c r="AW126" s="32" t="str">
        <f t="shared" si="16"/>
        <v/>
      </c>
      <c r="AX126" s="32" t="str">
        <f t="shared" si="17"/>
        <v/>
      </c>
      <c r="AY126" s="32" t="str">
        <f t="shared" si="18"/>
        <v/>
      </c>
      <c r="AZ126" s="32" t="str">
        <f t="shared" si="19"/>
        <v/>
      </c>
      <c r="BA126" s="32" t="str">
        <f t="shared" si="20"/>
        <v/>
      </c>
      <c r="BB126" s="32" t="str">
        <f t="shared" si="21"/>
        <v/>
      </c>
      <c r="BC126" s="32" t="str">
        <f>IF(ISBLANK(O126),"",IF(ISBLANK(AO126),"",IF(AO126&gt;='Delivery Note'!$H$5,IF(AO126&lt;='Delivery Note'!$H$5+92,"","ERROR"),"ERROR")))</f>
        <v/>
      </c>
      <c r="BD126" s="32" t="str">
        <f t="shared" si="22"/>
        <v/>
      </c>
      <c r="BE126" s="32" t="str">
        <f t="shared" si="23"/>
        <v/>
      </c>
    </row>
    <row r="127" spans="2:57" x14ac:dyDescent="0.2">
      <c r="B127" s="20"/>
      <c r="C127" s="53"/>
      <c r="E127" s="31">
        <v>127</v>
      </c>
      <c r="F127" s="47"/>
      <c r="G127" s="47"/>
      <c r="H127" s="47"/>
      <c r="I127" s="47"/>
      <c r="J127" s="76"/>
      <c r="K127" s="93"/>
      <c r="L127" s="86"/>
      <c r="M127" s="86"/>
      <c r="N127" s="86"/>
      <c r="O127" s="86"/>
      <c r="P127" s="86"/>
      <c r="Q127" s="86"/>
      <c r="R127" s="86"/>
      <c r="S127" s="86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78"/>
      <c r="AE127" s="78"/>
      <c r="AF127" s="78"/>
      <c r="AG127" s="88"/>
      <c r="AH127" s="78"/>
      <c r="AI127" s="78"/>
      <c r="AJ127" s="95" t="str">
        <f>IF(P127="","",IFERROR(ROUND(IF(OR(P127="G0B",P127="G0T"),Tabelle5[[#This Row],[AI]]/SUM(LER_01!$L$26:$L$27),Tabelle5[[#This Row],[AI]]/(SUM(LER_01!$K$26:$K$27)+IF(LER_01!$D$10&gt;=4,SUM(LER_01!$M$26:$M$27)))),3),""))</f>
        <v/>
      </c>
      <c r="AK127" s="91" t="str">
        <f>IF(P127="","",IF(OR(P127="SOV",P127="SOB",P127="G0T",P127="G0B"),"",IF(AND(OR(P127="BSS",P127="BFS"),LER_01!$D$10&lt;=2),15%,IF(AND(OR(P127="BSN",P127="BFN"),LER_01!$D$10&gt;=4),100%,25%))))</f>
        <v/>
      </c>
      <c r="AL127" s="77"/>
      <c r="AM127" s="78"/>
      <c r="AN127" s="78"/>
      <c r="AO127" s="79"/>
      <c r="AP127" s="94"/>
      <c r="AQ127" s="31"/>
      <c r="AR127" s="20"/>
      <c r="AS127" s="32" t="str">
        <f t="shared" si="12"/>
        <v/>
      </c>
      <c r="AT127" s="32" t="str">
        <f t="shared" si="13"/>
        <v/>
      </c>
      <c r="AU127" s="32" t="str">
        <f t="shared" si="14"/>
        <v/>
      </c>
      <c r="AV127" s="32" t="str">
        <f t="shared" si="15"/>
        <v/>
      </c>
      <c r="AW127" s="32" t="str">
        <f t="shared" si="16"/>
        <v/>
      </c>
      <c r="AX127" s="32" t="str">
        <f t="shared" si="17"/>
        <v/>
      </c>
      <c r="AY127" s="32" t="str">
        <f t="shared" si="18"/>
        <v/>
      </c>
      <c r="AZ127" s="32" t="str">
        <f t="shared" si="19"/>
        <v/>
      </c>
      <c r="BA127" s="32" t="str">
        <f t="shared" si="20"/>
        <v/>
      </c>
      <c r="BB127" s="32" t="str">
        <f t="shared" si="21"/>
        <v/>
      </c>
      <c r="BC127" s="32" t="str">
        <f>IF(ISBLANK(O127),"",IF(ISBLANK(AO127),"",IF(AO127&gt;='Delivery Note'!$H$5,IF(AO127&lt;='Delivery Note'!$H$5+92,"","ERROR"),"ERROR")))</f>
        <v/>
      </c>
      <c r="BD127" s="32" t="str">
        <f t="shared" si="22"/>
        <v/>
      </c>
      <c r="BE127" s="32" t="str">
        <f t="shared" si="23"/>
        <v/>
      </c>
    </row>
    <row r="128" spans="2:57" x14ac:dyDescent="0.2">
      <c r="B128" s="20"/>
      <c r="C128" s="53"/>
      <c r="E128" s="31">
        <v>128</v>
      </c>
      <c r="F128" s="47"/>
      <c r="G128" s="47"/>
      <c r="H128" s="47"/>
      <c r="I128" s="47"/>
      <c r="J128" s="76"/>
      <c r="K128" s="93"/>
      <c r="L128" s="86"/>
      <c r="M128" s="86"/>
      <c r="N128" s="86"/>
      <c r="O128" s="86"/>
      <c r="P128" s="86"/>
      <c r="Q128" s="86"/>
      <c r="R128" s="86"/>
      <c r="S128" s="86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78"/>
      <c r="AE128" s="78"/>
      <c r="AF128" s="78"/>
      <c r="AG128" s="88"/>
      <c r="AH128" s="78"/>
      <c r="AI128" s="78"/>
      <c r="AJ128" s="95" t="str">
        <f>IF(P128="","",IFERROR(ROUND(IF(OR(P128="G0B",P128="G0T"),Tabelle5[[#This Row],[AI]]/SUM(LER_01!$L$26:$L$27),Tabelle5[[#This Row],[AI]]/(SUM(LER_01!$K$26:$K$27)+IF(LER_01!$D$10&gt;=4,SUM(LER_01!$M$26:$M$27)))),3),""))</f>
        <v/>
      </c>
      <c r="AK128" s="91" t="str">
        <f>IF(P128="","",IF(OR(P128="SOV",P128="SOB",P128="G0T",P128="G0B"),"",IF(AND(OR(P128="BSS",P128="BFS"),LER_01!$D$10&lt;=2),15%,IF(AND(OR(P128="BSN",P128="BFN"),LER_01!$D$10&gt;=4),100%,25%))))</f>
        <v/>
      </c>
      <c r="AL128" s="77"/>
      <c r="AM128" s="78"/>
      <c r="AN128" s="78"/>
      <c r="AO128" s="79"/>
      <c r="AP128" s="94"/>
      <c r="AQ128" s="31"/>
      <c r="AR128" s="20"/>
      <c r="AS128" s="32" t="str">
        <f t="shared" si="12"/>
        <v/>
      </c>
      <c r="AT128" s="32" t="str">
        <f t="shared" si="13"/>
        <v/>
      </c>
      <c r="AU128" s="32" t="str">
        <f t="shared" si="14"/>
        <v/>
      </c>
      <c r="AV128" s="32" t="str">
        <f t="shared" si="15"/>
        <v/>
      </c>
      <c r="AW128" s="32" t="str">
        <f t="shared" si="16"/>
        <v/>
      </c>
      <c r="AX128" s="32" t="str">
        <f t="shared" si="17"/>
        <v/>
      </c>
      <c r="AY128" s="32" t="str">
        <f t="shared" si="18"/>
        <v/>
      </c>
      <c r="AZ128" s="32" t="str">
        <f t="shared" si="19"/>
        <v/>
      </c>
      <c r="BA128" s="32" t="str">
        <f t="shared" si="20"/>
        <v/>
      </c>
      <c r="BB128" s="32" t="str">
        <f t="shared" si="21"/>
        <v/>
      </c>
      <c r="BC128" s="32" t="str">
        <f>IF(ISBLANK(O128),"",IF(ISBLANK(AO128),"",IF(AO128&gt;='Delivery Note'!$H$5,IF(AO128&lt;='Delivery Note'!$H$5+92,"","ERROR"),"ERROR")))</f>
        <v/>
      </c>
      <c r="BD128" s="32" t="str">
        <f t="shared" si="22"/>
        <v/>
      </c>
      <c r="BE128" s="32" t="str">
        <f t="shared" si="23"/>
        <v/>
      </c>
    </row>
    <row r="129" spans="2:57" x14ac:dyDescent="0.2">
      <c r="B129" s="20"/>
      <c r="C129" s="53"/>
      <c r="E129" s="31">
        <v>129</v>
      </c>
      <c r="F129" s="47"/>
      <c r="G129" s="47"/>
      <c r="H129" s="47"/>
      <c r="I129" s="47"/>
      <c r="J129" s="76"/>
      <c r="K129" s="93"/>
      <c r="L129" s="86"/>
      <c r="M129" s="86"/>
      <c r="N129" s="86"/>
      <c r="O129" s="86"/>
      <c r="P129" s="86"/>
      <c r="Q129" s="86"/>
      <c r="R129" s="86"/>
      <c r="S129" s="86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78"/>
      <c r="AE129" s="78"/>
      <c r="AF129" s="78"/>
      <c r="AG129" s="88"/>
      <c r="AH129" s="78"/>
      <c r="AI129" s="78"/>
      <c r="AJ129" s="95" t="str">
        <f>IF(P129="","",IFERROR(ROUND(IF(OR(P129="G0B",P129="G0T"),Tabelle5[[#This Row],[AI]]/SUM(LER_01!$L$26:$L$27),Tabelle5[[#This Row],[AI]]/(SUM(LER_01!$K$26:$K$27)+IF(LER_01!$D$10&gt;=4,SUM(LER_01!$M$26:$M$27)))),3),""))</f>
        <v/>
      </c>
      <c r="AK129" s="91" t="str">
        <f>IF(P129="","",IF(OR(P129="SOV",P129="SOB",P129="G0T",P129="G0B"),"",IF(AND(OR(P129="BSS",P129="BFS"),LER_01!$D$10&lt;=2),15%,IF(AND(OR(P129="BSN",P129="BFN"),LER_01!$D$10&gt;=4),100%,25%))))</f>
        <v/>
      </c>
      <c r="AL129" s="77"/>
      <c r="AM129" s="78"/>
      <c r="AN129" s="78"/>
      <c r="AO129" s="79"/>
      <c r="AP129" s="94"/>
      <c r="AQ129" s="31"/>
      <c r="AR129" s="20"/>
      <c r="AS129" s="32" t="str">
        <f t="shared" si="12"/>
        <v/>
      </c>
      <c r="AT129" s="32" t="str">
        <f t="shared" si="13"/>
        <v/>
      </c>
      <c r="AU129" s="32" t="str">
        <f t="shared" si="14"/>
        <v/>
      </c>
      <c r="AV129" s="32" t="str">
        <f t="shared" si="15"/>
        <v/>
      </c>
      <c r="AW129" s="32" t="str">
        <f t="shared" si="16"/>
        <v/>
      </c>
      <c r="AX129" s="32" t="str">
        <f t="shared" si="17"/>
        <v/>
      </c>
      <c r="AY129" s="32" t="str">
        <f t="shared" si="18"/>
        <v/>
      </c>
      <c r="AZ129" s="32" t="str">
        <f t="shared" si="19"/>
        <v/>
      </c>
      <c r="BA129" s="32" t="str">
        <f t="shared" si="20"/>
        <v/>
      </c>
      <c r="BB129" s="32" t="str">
        <f t="shared" si="21"/>
        <v/>
      </c>
      <c r="BC129" s="32" t="str">
        <f>IF(ISBLANK(O129),"",IF(ISBLANK(AO129),"",IF(AO129&gt;='Delivery Note'!$H$5,IF(AO129&lt;='Delivery Note'!$H$5+92,"","ERROR"),"ERROR")))</f>
        <v/>
      </c>
      <c r="BD129" s="32" t="str">
        <f t="shared" si="22"/>
        <v/>
      </c>
      <c r="BE129" s="32" t="str">
        <f t="shared" si="23"/>
        <v/>
      </c>
    </row>
    <row r="130" spans="2:57" x14ac:dyDescent="0.2">
      <c r="B130" s="20"/>
      <c r="C130" s="53"/>
      <c r="E130" s="31">
        <v>130</v>
      </c>
      <c r="F130" s="47"/>
      <c r="G130" s="47"/>
      <c r="H130" s="47"/>
      <c r="I130" s="47"/>
      <c r="J130" s="76"/>
      <c r="K130" s="93"/>
      <c r="L130" s="86"/>
      <c r="M130" s="86"/>
      <c r="N130" s="86"/>
      <c r="O130" s="86"/>
      <c r="P130" s="86"/>
      <c r="Q130" s="86"/>
      <c r="R130" s="86"/>
      <c r="S130" s="86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78"/>
      <c r="AE130" s="78"/>
      <c r="AF130" s="78"/>
      <c r="AG130" s="88"/>
      <c r="AH130" s="78"/>
      <c r="AI130" s="78"/>
      <c r="AJ130" s="95" t="str">
        <f>IF(P130="","",IFERROR(ROUND(IF(OR(P130="G0B",P130="G0T"),Tabelle5[[#This Row],[AI]]/SUM(LER_01!$L$26:$L$27),Tabelle5[[#This Row],[AI]]/(SUM(LER_01!$K$26:$K$27)+IF(LER_01!$D$10&gt;=4,SUM(LER_01!$M$26:$M$27)))),3),""))</f>
        <v/>
      </c>
      <c r="AK130" s="91" t="str">
        <f>IF(P130="","",IF(OR(P130="SOV",P130="SOB",P130="G0T",P130="G0B"),"",IF(AND(OR(P130="BSS",P130="BFS"),LER_01!$D$10&lt;=2),15%,IF(AND(OR(P130="BSN",P130="BFN"),LER_01!$D$10&gt;=4),100%,25%))))</f>
        <v/>
      </c>
      <c r="AL130" s="77"/>
      <c r="AM130" s="78"/>
      <c r="AN130" s="78"/>
      <c r="AO130" s="79"/>
      <c r="AP130" s="94"/>
      <c r="AQ130" s="31"/>
      <c r="AR130" s="20"/>
      <c r="AS130" s="32" t="str">
        <f t="shared" si="12"/>
        <v/>
      </c>
      <c r="AT130" s="32" t="str">
        <f t="shared" si="13"/>
        <v/>
      </c>
      <c r="AU130" s="32" t="str">
        <f t="shared" si="14"/>
        <v/>
      </c>
      <c r="AV130" s="32" t="str">
        <f t="shared" si="15"/>
        <v/>
      </c>
      <c r="AW130" s="32" t="str">
        <f t="shared" si="16"/>
        <v/>
      </c>
      <c r="AX130" s="32" t="str">
        <f t="shared" si="17"/>
        <v/>
      </c>
      <c r="AY130" s="32" t="str">
        <f t="shared" si="18"/>
        <v/>
      </c>
      <c r="AZ130" s="32" t="str">
        <f t="shared" si="19"/>
        <v/>
      </c>
      <c r="BA130" s="32" t="str">
        <f t="shared" si="20"/>
        <v/>
      </c>
      <c r="BB130" s="32" t="str">
        <f t="shared" si="21"/>
        <v/>
      </c>
      <c r="BC130" s="32" t="str">
        <f>IF(ISBLANK(O130),"",IF(ISBLANK(AO130),"",IF(AO130&gt;='Delivery Note'!$H$5,IF(AO130&lt;='Delivery Note'!$H$5+92,"","ERROR"),"ERROR")))</f>
        <v/>
      </c>
      <c r="BD130" s="32" t="str">
        <f t="shared" si="22"/>
        <v/>
      </c>
      <c r="BE130" s="32" t="str">
        <f t="shared" si="23"/>
        <v/>
      </c>
    </row>
    <row r="131" spans="2:57" x14ac:dyDescent="0.2">
      <c r="B131" s="20"/>
      <c r="C131" s="53"/>
      <c r="E131" s="31">
        <v>131</v>
      </c>
      <c r="F131" s="47"/>
      <c r="G131" s="47"/>
      <c r="H131" s="47"/>
      <c r="I131" s="47"/>
      <c r="J131" s="76"/>
      <c r="K131" s="93"/>
      <c r="L131" s="86"/>
      <c r="M131" s="86"/>
      <c r="N131" s="86"/>
      <c r="O131" s="86"/>
      <c r="P131" s="86"/>
      <c r="Q131" s="86"/>
      <c r="R131" s="86"/>
      <c r="S131" s="86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78"/>
      <c r="AE131" s="78"/>
      <c r="AF131" s="78"/>
      <c r="AG131" s="88"/>
      <c r="AH131" s="78"/>
      <c r="AI131" s="78"/>
      <c r="AJ131" s="95" t="str">
        <f>IF(P131="","",IFERROR(ROUND(IF(OR(P131="G0B",P131="G0T"),Tabelle5[[#This Row],[AI]]/SUM(LER_01!$L$26:$L$27),Tabelle5[[#This Row],[AI]]/(SUM(LER_01!$K$26:$K$27)+IF(LER_01!$D$10&gt;=4,SUM(LER_01!$M$26:$M$27)))),3),""))</f>
        <v/>
      </c>
      <c r="AK131" s="91" t="str">
        <f>IF(P131="","",IF(OR(P131="SOV",P131="SOB",P131="G0T",P131="G0B"),"",IF(AND(OR(P131="BSS",P131="BFS"),LER_01!$D$10&lt;=2),15%,IF(AND(OR(P131="BSN",P131="BFN"),LER_01!$D$10&gt;=4),100%,25%))))</f>
        <v/>
      </c>
      <c r="AL131" s="77"/>
      <c r="AM131" s="78"/>
      <c r="AN131" s="78"/>
      <c r="AO131" s="79"/>
      <c r="AP131" s="94"/>
      <c r="AQ131" s="31"/>
      <c r="AR131" s="20"/>
      <c r="AS131" s="32" t="str">
        <f t="shared" si="12"/>
        <v/>
      </c>
      <c r="AT131" s="32" t="str">
        <f t="shared" si="13"/>
        <v/>
      </c>
      <c r="AU131" s="32" t="str">
        <f t="shared" si="14"/>
        <v/>
      </c>
      <c r="AV131" s="32" t="str">
        <f t="shared" si="15"/>
        <v/>
      </c>
      <c r="AW131" s="32" t="str">
        <f t="shared" si="16"/>
        <v/>
      </c>
      <c r="AX131" s="32" t="str">
        <f t="shared" si="17"/>
        <v/>
      </c>
      <c r="AY131" s="32" t="str">
        <f t="shared" si="18"/>
        <v/>
      </c>
      <c r="AZ131" s="32" t="str">
        <f t="shared" si="19"/>
        <v/>
      </c>
      <c r="BA131" s="32" t="str">
        <f t="shared" si="20"/>
        <v/>
      </c>
      <c r="BB131" s="32" t="str">
        <f t="shared" si="21"/>
        <v/>
      </c>
      <c r="BC131" s="32" t="str">
        <f>IF(ISBLANK(O131),"",IF(ISBLANK(AO131),"",IF(AO131&gt;='Delivery Note'!$H$5,IF(AO131&lt;='Delivery Note'!$H$5+92,"","ERROR"),"ERROR")))</f>
        <v/>
      </c>
      <c r="BD131" s="32" t="str">
        <f t="shared" si="22"/>
        <v/>
      </c>
      <c r="BE131" s="32" t="str">
        <f t="shared" si="23"/>
        <v/>
      </c>
    </row>
    <row r="132" spans="2:57" x14ac:dyDescent="0.2">
      <c r="B132" s="20"/>
      <c r="C132" s="53"/>
      <c r="E132" s="31">
        <v>132</v>
      </c>
      <c r="F132" s="47"/>
      <c r="G132" s="47"/>
      <c r="H132" s="47"/>
      <c r="I132" s="47"/>
      <c r="J132" s="76"/>
      <c r="K132" s="93"/>
      <c r="L132" s="86"/>
      <c r="M132" s="86"/>
      <c r="N132" s="86"/>
      <c r="O132" s="86"/>
      <c r="P132" s="86"/>
      <c r="Q132" s="86"/>
      <c r="R132" s="86"/>
      <c r="S132" s="86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78"/>
      <c r="AE132" s="78"/>
      <c r="AF132" s="78"/>
      <c r="AG132" s="88"/>
      <c r="AH132" s="78"/>
      <c r="AI132" s="78"/>
      <c r="AJ132" s="95" t="str">
        <f>IF(P132="","",IFERROR(ROUND(IF(OR(P132="G0B",P132="G0T"),Tabelle5[[#This Row],[AI]]/SUM(LER_01!$L$26:$L$27),Tabelle5[[#This Row],[AI]]/(SUM(LER_01!$K$26:$K$27)+IF(LER_01!$D$10&gt;=4,SUM(LER_01!$M$26:$M$27)))),3),""))</f>
        <v/>
      </c>
      <c r="AK132" s="91" t="str">
        <f>IF(P132="","",IF(OR(P132="SOV",P132="SOB",P132="G0T",P132="G0B"),"",IF(AND(OR(P132="BSS",P132="BFS"),LER_01!$D$10&lt;=2),15%,IF(AND(OR(P132="BSN",P132="BFN"),LER_01!$D$10&gt;=4),100%,25%))))</f>
        <v/>
      </c>
      <c r="AL132" s="77"/>
      <c r="AM132" s="78"/>
      <c r="AN132" s="78"/>
      <c r="AO132" s="79"/>
      <c r="AP132" s="94"/>
      <c r="AQ132" s="31"/>
      <c r="AR132" s="20"/>
      <c r="AS132" s="32" t="str">
        <f t="shared" si="12"/>
        <v/>
      </c>
      <c r="AT132" s="32" t="str">
        <f t="shared" si="13"/>
        <v/>
      </c>
      <c r="AU132" s="32" t="str">
        <f t="shared" si="14"/>
        <v/>
      </c>
      <c r="AV132" s="32" t="str">
        <f t="shared" si="15"/>
        <v/>
      </c>
      <c r="AW132" s="32" t="str">
        <f t="shared" si="16"/>
        <v/>
      </c>
      <c r="AX132" s="32" t="str">
        <f t="shared" si="17"/>
        <v/>
      </c>
      <c r="AY132" s="32" t="str">
        <f t="shared" si="18"/>
        <v/>
      </c>
      <c r="AZ132" s="32" t="str">
        <f t="shared" si="19"/>
        <v/>
      </c>
      <c r="BA132" s="32" t="str">
        <f t="shared" si="20"/>
        <v/>
      </c>
      <c r="BB132" s="32" t="str">
        <f t="shared" si="21"/>
        <v/>
      </c>
      <c r="BC132" s="32" t="str">
        <f>IF(ISBLANK(O132),"",IF(ISBLANK(AO132),"",IF(AO132&gt;='Delivery Note'!$H$5,IF(AO132&lt;='Delivery Note'!$H$5+92,"","ERROR"),"ERROR")))</f>
        <v/>
      </c>
      <c r="BD132" s="32" t="str">
        <f t="shared" si="22"/>
        <v/>
      </c>
      <c r="BE132" s="32" t="str">
        <f t="shared" si="23"/>
        <v/>
      </c>
    </row>
    <row r="133" spans="2:57" x14ac:dyDescent="0.2">
      <c r="B133" s="20"/>
      <c r="C133" s="53"/>
      <c r="E133" s="31">
        <v>133</v>
      </c>
      <c r="F133" s="47"/>
      <c r="G133" s="47"/>
      <c r="H133" s="47"/>
      <c r="I133" s="47"/>
      <c r="J133" s="76"/>
      <c r="K133" s="93"/>
      <c r="L133" s="86"/>
      <c r="M133" s="86"/>
      <c r="N133" s="86"/>
      <c r="O133" s="86"/>
      <c r="P133" s="86"/>
      <c r="Q133" s="86"/>
      <c r="R133" s="86"/>
      <c r="S133" s="86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78"/>
      <c r="AE133" s="78"/>
      <c r="AF133" s="78"/>
      <c r="AG133" s="88"/>
      <c r="AH133" s="78"/>
      <c r="AI133" s="78"/>
      <c r="AJ133" s="95" t="str">
        <f>IF(P133="","",IFERROR(ROUND(IF(OR(P133="G0B",P133="G0T"),Tabelle5[[#This Row],[AI]]/SUM(LER_01!$L$26:$L$27),Tabelle5[[#This Row],[AI]]/(SUM(LER_01!$K$26:$K$27)+IF(LER_01!$D$10&gt;=4,SUM(LER_01!$M$26:$M$27)))),3),""))</f>
        <v/>
      </c>
      <c r="AK133" s="91" t="str">
        <f>IF(P133="","",IF(OR(P133="SOV",P133="SOB",P133="G0T",P133="G0B"),"",IF(AND(OR(P133="BSS",P133="BFS"),LER_01!$D$10&lt;=2),15%,IF(AND(OR(P133="BSN",P133="BFN"),LER_01!$D$10&gt;=4),100%,25%))))</f>
        <v/>
      </c>
      <c r="AL133" s="77"/>
      <c r="AM133" s="78"/>
      <c r="AN133" s="78"/>
      <c r="AO133" s="79"/>
      <c r="AP133" s="94"/>
      <c r="AQ133" s="31"/>
      <c r="AR133" s="20"/>
      <c r="AS133" s="32" t="str">
        <f t="shared" si="12"/>
        <v/>
      </c>
      <c r="AT133" s="32" t="str">
        <f t="shared" si="13"/>
        <v/>
      </c>
      <c r="AU133" s="32" t="str">
        <f t="shared" si="14"/>
        <v/>
      </c>
      <c r="AV133" s="32" t="str">
        <f t="shared" si="15"/>
        <v/>
      </c>
      <c r="AW133" s="32" t="str">
        <f t="shared" si="16"/>
        <v/>
      </c>
      <c r="AX133" s="32" t="str">
        <f t="shared" si="17"/>
        <v/>
      </c>
      <c r="AY133" s="32" t="str">
        <f t="shared" si="18"/>
        <v/>
      </c>
      <c r="AZ133" s="32" t="str">
        <f t="shared" si="19"/>
        <v/>
      </c>
      <c r="BA133" s="32" t="str">
        <f t="shared" si="20"/>
        <v/>
      </c>
      <c r="BB133" s="32" t="str">
        <f t="shared" si="21"/>
        <v/>
      </c>
      <c r="BC133" s="32" t="str">
        <f>IF(ISBLANK(O133),"",IF(ISBLANK(AO133),"",IF(AO133&gt;='Delivery Note'!$H$5,IF(AO133&lt;='Delivery Note'!$H$5+92,"","ERROR"),"ERROR")))</f>
        <v/>
      </c>
      <c r="BD133" s="32" t="str">
        <f t="shared" si="22"/>
        <v/>
      </c>
      <c r="BE133" s="32" t="str">
        <f t="shared" si="23"/>
        <v/>
      </c>
    </row>
    <row r="134" spans="2:57" x14ac:dyDescent="0.2">
      <c r="B134" s="20"/>
      <c r="C134" s="53"/>
      <c r="E134" s="31">
        <v>134</v>
      </c>
      <c r="F134" s="47"/>
      <c r="G134" s="47"/>
      <c r="H134" s="47"/>
      <c r="I134" s="47"/>
      <c r="J134" s="76"/>
      <c r="K134" s="93"/>
      <c r="L134" s="86"/>
      <c r="M134" s="86"/>
      <c r="N134" s="86"/>
      <c r="O134" s="86"/>
      <c r="P134" s="86"/>
      <c r="Q134" s="86"/>
      <c r="R134" s="86"/>
      <c r="S134" s="86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78"/>
      <c r="AE134" s="78"/>
      <c r="AF134" s="78"/>
      <c r="AG134" s="88"/>
      <c r="AH134" s="78"/>
      <c r="AI134" s="78"/>
      <c r="AJ134" s="95" t="str">
        <f>IF(P134="","",IFERROR(ROUND(IF(OR(P134="G0B",P134="G0T"),Tabelle5[[#This Row],[AI]]/SUM(LER_01!$L$26:$L$27),Tabelle5[[#This Row],[AI]]/(SUM(LER_01!$K$26:$K$27)+IF(LER_01!$D$10&gt;=4,SUM(LER_01!$M$26:$M$27)))),3),""))</f>
        <v/>
      </c>
      <c r="AK134" s="91" t="str">
        <f>IF(P134="","",IF(OR(P134="SOV",P134="SOB",P134="G0T",P134="G0B"),"",IF(AND(OR(P134="BSS",P134="BFS"),LER_01!$D$10&lt;=2),15%,IF(AND(OR(P134="BSN",P134="BFN"),LER_01!$D$10&gt;=4),100%,25%))))</f>
        <v/>
      </c>
      <c r="AL134" s="77"/>
      <c r="AM134" s="78"/>
      <c r="AN134" s="78"/>
      <c r="AO134" s="79"/>
      <c r="AP134" s="94"/>
      <c r="AQ134" s="31"/>
      <c r="AR134" s="20"/>
      <c r="AS134" s="32" t="str">
        <f t="shared" si="12"/>
        <v/>
      </c>
      <c r="AT134" s="32" t="str">
        <f t="shared" si="13"/>
        <v/>
      </c>
      <c r="AU134" s="32" t="str">
        <f t="shared" si="14"/>
        <v/>
      </c>
      <c r="AV134" s="32" t="str">
        <f t="shared" si="15"/>
        <v/>
      </c>
      <c r="AW134" s="32" t="str">
        <f t="shared" si="16"/>
        <v/>
      </c>
      <c r="AX134" s="32" t="str">
        <f t="shared" si="17"/>
        <v/>
      </c>
      <c r="AY134" s="32" t="str">
        <f t="shared" si="18"/>
        <v/>
      </c>
      <c r="AZ134" s="32" t="str">
        <f t="shared" si="19"/>
        <v/>
      </c>
      <c r="BA134" s="32" t="str">
        <f t="shared" si="20"/>
        <v/>
      </c>
      <c r="BB134" s="32" t="str">
        <f t="shared" si="21"/>
        <v/>
      </c>
      <c r="BC134" s="32" t="str">
        <f>IF(ISBLANK(O134),"",IF(ISBLANK(AO134),"",IF(AO134&gt;='Delivery Note'!$H$5,IF(AO134&lt;='Delivery Note'!$H$5+92,"","ERROR"),"ERROR")))</f>
        <v/>
      </c>
      <c r="BD134" s="32" t="str">
        <f t="shared" si="22"/>
        <v/>
      </c>
      <c r="BE134" s="32" t="str">
        <f t="shared" si="23"/>
        <v/>
      </c>
    </row>
    <row r="135" spans="2:57" x14ac:dyDescent="0.2">
      <c r="B135" s="20"/>
      <c r="C135" s="53"/>
      <c r="E135" s="31">
        <v>135</v>
      </c>
      <c r="F135" s="47"/>
      <c r="G135" s="47"/>
      <c r="H135" s="47"/>
      <c r="I135" s="47"/>
      <c r="J135" s="76"/>
      <c r="K135" s="93"/>
      <c r="L135" s="86"/>
      <c r="M135" s="86"/>
      <c r="N135" s="86"/>
      <c r="O135" s="86"/>
      <c r="P135" s="86"/>
      <c r="Q135" s="86"/>
      <c r="R135" s="86"/>
      <c r="S135" s="86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78"/>
      <c r="AE135" s="78"/>
      <c r="AF135" s="78"/>
      <c r="AG135" s="88"/>
      <c r="AH135" s="78"/>
      <c r="AI135" s="78"/>
      <c r="AJ135" s="95" t="str">
        <f>IF(P135="","",IFERROR(ROUND(IF(OR(P135="G0B",P135="G0T"),Tabelle5[[#This Row],[AI]]/SUM(LER_01!$L$26:$L$27),Tabelle5[[#This Row],[AI]]/(SUM(LER_01!$K$26:$K$27)+IF(LER_01!$D$10&gt;=4,SUM(LER_01!$M$26:$M$27)))),3),""))</f>
        <v/>
      </c>
      <c r="AK135" s="91" t="str">
        <f>IF(P135="","",IF(OR(P135="SOV",P135="SOB",P135="G0T",P135="G0B"),"",IF(AND(OR(P135="BSS",P135="BFS"),LER_01!$D$10&lt;=2),15%,IF(AND(OR(P135="BSN",P135="BFN"),LER_01!$D$10&gt;=4),100%,25%))))</f>
        <v/>
      </c>
      <c r="AL135" s="77"/>
      <c r="AM135" s="78"/>
      <c r="AN135" s="78"/>
      <c r="AO135" s="79"/>
      <c r="AP135" s="94"/>
      <c r="AQ135" s="31"/>
      <c r="AR135" s="20"/>
      <c r="AS135" s="32" t="str">
        <f t="shared" si="12"/>
        <v/>
      </c>
      <c r="AT135" s="32" t="str">
        <f t="shared" si="13"/>
        <v/>
      </c>
      <c r="AU135" s="32" t="str">
        <f t="shared" si="14"/>
        <v/>
      </c>
      <c r="AV135" s="32" t="str">
        <f t="shared" si="15"/>
        <v/>
      </c>
      <c r="AW135" s="32" t="str">
        <f t="shared" si="16"/>
        <v/>
      </c>
      <c r="AX135" s="32" t="str">
        <f t="shared" si="17"/>
        <v/>
      </c>
      <c r="AY135" s="32" t="str">
        <f t="shared" si="18"/>
        <v/>
      </c>
      <c r="AZ135" s="32" t="str">
        <f t="shared" si="19"/>
        <v/>
      </c>
      <c r="BA135" s="32" t="str">
        <f t="shared" si="20"/>
        <v/>
      </c>
      <c r="BB135" s="32" t="str">
        <f t="shared" si="21"/>
        <v/>
      </c>
      <c r="BC135" s="32" t="str">
        <f>IF(ISBLANK(O135),"",IF(ISBLANK(AO135),"",IF(AO135&gt;='Delivery Note'!$H$5,IF(AO135&lt;='Delivery Note'!$H$5+92,"","ERROR"),"ERROR")))</f>
        <v/>
      </c>
      <c r="BD135" s="32" t="str">
        <f t="shared" si="22"/>
        <v/>
      </c>
      <c r="BE135" s="32" t="str">
        <f t="shared" si="23"/>
        <v/>
      </c>
    </row>
    <row r="136" spans="2:57" x14ac:dyDescent="0.2">
      <c r="B136" s="20"/>
      <c r="C136" s="53"/>
      <c r="E136" s="31">
        <v>136</v>
      </c>
      <c r="F136" s="47"/>
      <c r="G136" s="47"/>
      <c r="H136" s="47"/>
      <c r="I136" s="47"/>
      <c r="J136" s="76"/>
      <c r="K136" s="93"/>
      <c r="L136" s="86"/>
      <c r="M136" s="86"/>
      <c r="N136" s="86"/>
      <c r="O136" s="86"/>
      <c r="P136" s="86"/>
      <c r="Q136" s="86"/>
      <c r="R136" s="86"/>
      <c r="S136" s="86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78"/>
      <c r="AE136" s="78"/>
      <c r="AF136" s="78"/>
      <c r="AG136" s="88"/>
      <c r="AH136" s="78"/>
      <c r="AI136" s="78"/>
      <c r="AJ136" s="95" t="str">
        <f>IF(P136="","",IFERROR(ROUND(IF(OR(P136="G0B",P136="G0T"),Tabelle5[[#This Row],[AI]]/SUM(LER_01!$L$26:$L$27),Tabelle5[[#This Row],[AI]]/(SUM(LER_01!$K$26:$K$27)+IF(LER_01!$D$10&gt;=4,SUM(LER_01!$M$26:$M$27)))),3),""))</f>
        <v/>
      </c>
      <c r="AK136" s="91" t="str">
        <f>IF(P136="","",IF(OR(P136="SOV",P136="SOB",P136="G0T",P136="G0B"),"",IF(AND(OR(P136="BSS",P136="BFS"),LER_01!$D$10&lt;=2),15%,IF(AND(OR(P136="BSN",P136="BFN"),LER_01!$D$10&gt;=4),100%,25%))))</f>
        <v/>
      </c>
      <c r="AL136" s="77"/>
      <c r="AM136" s="78"/>
      <c r="AN136" s="78"/>
      <c r="AO136" s="79"/>
      <c r="AP136" s="94"/>
      <c r="AQ136" s="31"/>
      <c r="AR136" s="20"/>
      <c r="AS136" s="32" t="str">
        <f t="shared" si="12"/>
        <v/>
      </c>
      <c r="AT136" s="32" t="str">
        <f t="shared" si="13"/>
        <v/>
      </c>
      <c r="AU136" s="32" t="str">
        <f t="shared" si="14"/>
        <v/>
      </c>
      <c r="AV136" s="32" t="str">
        <f t="shared" si="15"/>
        <v/>
      </c>
      <c r="AW136" s="32" t="str">
        <f t="shared" si="16"/>
        <v/>
      </c>
      <c r="AX136" s="32" t="str">
        <f t="shared" si="17"/>
        <v/>
      </c>
      <c r="AY136" s="32" t="str">
        <f t="shared" si="18"/>
        <v/>
      </c>
      <c r="AZ136" s="32" t="str">
        <f t="shared" si="19"/>
        <v/>
      </c>
      <c r="BA136" s="32" t="str">
        <f t="shared" si="20"/>
        <v/>
      </c>
      <c r="BB136" s="32" t="str">
        <f t="shared" si="21"/>
        <v/>
      </c>
      <c r="BC136" s="32" t="str">
        <f>IF(ISBLANK(O136),"",IF(ISBLANK(AO136),"",IF(AO136&gt;='Delivery Note'!$H$5,IF(AO136&lt;='Delivery Note'!$H$5+92,"","ERROR"),"ERROR")))</f>
        <v/>
      </c>
      <c r="BD136" s="32" t="str">
        <f t="shared" si="22"/>
        <v/>
      </c>
      <c r="BE136" s="32" t="str">
        <f t="shared" si="23"/>
        <v/>
      </c>
    </row>
    <row r="137" spans="2:57" x14ac:dyDescent="0.2">
      <c r="B137" s="20"/>
      <c r="C137" s="53"/>
      <c r="E137" s="31">
        <v>137</v>
      </c>
      <c r="F137" s="47"/>
      <c r="G137" s="47"/>
      <c r="H137" s="47"/>
      <c r="I137" s="47"/>
      <c r="J137" s="76"/>
      <c r="K137" s="93"/>
      <c r="L137" s="86"/>
      <c r="M137" s="86"/>
      <c r="N137" s="86"/>
      <c r="O137" s="86"/>
      <c r="P137" s="86"/>
      <c r="Q137" s="86"/>
      <c r="R137" s="86"/>
      <c r="S137" s="86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78"/>
      <c r="AE137" s="78"/>
      <c r="AF137" s="78"/>
      <c r="AG137" s="88"/>
      <c r="AH137" s="78"/>
      <c r="AI137" s="78"/>
      <c r="AJ137" s="95" t="str">
        <f>IF(P137="","",IFERROR(ROUND(IF(OR(P137="G0B",P137="G0T"),Tabelle5[[#This Row],[AI]]/SUM(LER_01!$L$26:$L$27),Tabelle5[[#This Row],[AI]]/(SUM(LER_01!$K$26:$K$27)+IF(LER_01!$D$10&gt;=4,SUM(LER_01!$M$26:$M$27)))),3),""))</f>
        <v/>
      </c>
      <c r="AK137" s="91" t="str">
        <f>IF(P137="","",IF(OR(P137="SOV",P137="SOB",P137="G0T",P137="G0B"),"",IF(AND(OR(P137="BSS",P137="BFS"),LER_01!$D$10&lt;=2),15%,IF(AND(OR(P137="BSN",P137="BFN"),LER_01!$D$10&gt;=4),100%,25%))))</f>
        <v/>
      </c>
      <c r="AL137" s="77"/>
      <c r="AM137" s="78"/>
      <c r="AN137" s="78"/>
      <c r="AO137" s="79"/>
      <c r="AP137" s="94"/>
      <c r="AQ137" s="31"/>
      <c r="AR137" s="20"/>
      <c r="AS137" s="32" t="str">
        <f t="shared" si="12"/>
        <v/>
      </c>
      <c r="AT137" s="32" t="str">
        <f t="shared" si="13"/>
        <v/>
      </c>
      <c r="AU137" s="32" t="str">
        <f t="shared" si="14"/>
        <v/>
      </c>
      <c r="AV137" s="32" t="str">
        <f t="shared" si="15"/>
        <v/>
      </c>
      <c r="AW137" s="32" t="str">
        <f t="shared" si="16"/>
        <v/>
      </c>
      <c r="AX137" s="32" t="str">
        <f t="shared" si="17"/>
        <v/>
      </c>
      <c r="AY137" s="32" t="str">
        <f t="shared" si="18"/>
        <v/>
      </c>
      <c r="AZ137" s="32" t="str">
        <f t="shared" si="19"/>
        <v/>
      </c>
      <c r="BA137" s="32" t="str">
        <f t="shared" si="20"/>
        <v/>
      </c>
      <c r="BB137" s="32" t="str">
        <f t="shared" si="21"/>
        <v/>
      </c>
      <c r="BC137" s="32" t="str">
        <f>IF(ISBLANK(O137),"",IF(ISBLANK(AO137),"",IF(AO137&gt;='Delivery Note'!$H$5,IF(AO137&lt;='Delivery Note'!$H$5+92,"","ERROR"),"ERROR")))</f>
        <v/>
      </c>
      <c r="BD137" s="32" t="str">
        <f t="shared" si="22"/>
        <v/>
      </c>
      <c r="BE137" s="32" t="str">
        <f t="shared" si="23"/>
        <v/>
      </c>
    </row>
    <row r="138" spans="2:57" x14ac:dyDescent="0.2">
      <c r="B138" s="20"/>
      <c r="C138" s="53"/>
      <c r="E138" s="31">
        <v>138</v>
      </c>
      <c r="F138" s="47"/>
      <c r="G138" s="47"/>
      <c r="H138" s="47"/>
      <c r="I138" s="47"/>
      <c r="J138" s="76"/>
      <c r="K138" s="93"/>
      <c r="L138" s="86"/>
      <c r="M138" s="86"/>
      <c r="N138" s="86"/>
      <c r="O138" s="86"/>
      <c r="P138" s="86"/>
      <c r="Q138" s="86"/>
      <c r="R138" s="86"/>
      <c r="S138" s="86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78"/>
      <c r="AE138" s="78"/>
      <c r="AF138" s="78"/>
      <c r="AG138" s="88"/>
      <c r="AH138" s="78"/>
      <c r="AI138" s="78"/>
      <c r="AJ138" s="95" t="str">
        <f>IF(P138="","",IFERROR(ROUND(IF(OR(P138="G0B",P138="G0T"),Tabelle5[[#This Row],[AI]]/SUM(LER_01!$L$26:$L$27),Tabelle5[[#This Row],[AI]]/(SUM(LER_01!$K$26:$K$27)+IF(LER_01!$D$10&gt;=4,SUM(LER_01!$M$26:$M$27)))),3),""))</f>
        <v/>
      </c>
      <c r="AK138" s="91" t="str">
        <f>IF(P138="","",IF(OR(P138="SOV",P138="SOB",P138="G0T",P138="G0B"),"",IF(AND(OR(P138="BSS",P138="BFS"),LER_01!$D$10&lt;=2),15%,IF(AND(OR(P138="BSN",P138="BFN"),LER_01!$D$10&gt;=4),100%,25%))))</f>
        <v/>
      </c>
      <c r="AL138" s="77"/>
      <c r="AM138" s="78"/>
      <c r="AN138" s="78"/>
      <c r="AO138" s="79"/>
      <c r="AP138" s="94"/>
      <c r="AQ138" s="31"/>
      <c r="AR138" s="20"/>
      <c r="AS138" s="32" t="str">
        <f t="shared" si="12"/>
        <v/>
      </c>
      <c r="AT138" s="32" t="str">
        <f t="shared" si="13"/>
        <v/>
      </c>
      <c r="AU138" s="32" t="str">
        <f t="shared" si="14"/>
        <v/>
      </c>
      <c r="AV138" s="32" t="str">
        <f t="shared" si="15"/>
        <v/>
      </c>
      <c r="AW138" s="32" t="str">
        <f t="shared" si="16"/>
        <v/>
      </c>
      <c r="AX138" s="32" t="str">
        <f t="shared" si="17"/>
        <v/>
      </c>
      <c r="AY138" s="32" t="str">
        <f t="shared" si="18"/>
        <v/>
      </c>
      <c r="AZ138" s="32" t="str">
        <f t="shared" si="19"/>
        <v/>
      </c>
      <c r="BA138" s="32" t="str">
        <f t="shared" si="20"/>
        <v/>
      </c>
      <c r="BB138" s="32" t="str">
        <f t="shared" si="21"/>
        <v/>
      </c>
      <c r="BC138" s="32" t="str">
        <f>IF(ISBLANK(O138),"",IF(ISBLANK(AO138),"",IF(AO138&gt;='Delivery Note'!$H$5,IF(AO138&lt;='Delivery Note'!$H$5+92,"","ERROR"),"ERROR")))</f>
        <v/>
      </c>
      <c r="BD138" s="32" t="str">
        <f t="shared" si="22"/>
        <v/>
      </c>
      <c r="BE138" s="32" t="str">
        <f t="shared" si="23"/>
        <v/>
      </c>
    </row>
    <row r="139" spans="2:57" x14ac:dyDescent="0.2">
      <c r="B139" s="20"/>
      <c r="C139" s="53"/>
      <c r="E139" s="31">
        <v>139</v>
      </c>
      <c r="F139" s="47"/>
      <c r="G139" s="47"/>
      <c r="H139" s="47"/>
      <c r="I139" s="47"/>
      <c r="J139" s="76"/>
      <c r="K139" s="93"/>
      <c r="L139" s="86"/>
      <c r="M139" s="86"/>
      <c r="N139" s="86"/>
      <c r="O139" s="86"/>
      <c r="P139" s="86"/>
      <c r="Q139" s="86"/>
      <c r="R139" s="86"/>
      <c r="S139" s="86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78"/>
      <c r="AE139" s="78"/>
      <c r="AF139" s="78"/>
      <c r="AG139" s="88"/>
      <c r="AH139" s="78"/>
      <c r="AI139" s="78"/>
      <c r="AJ139" s="95" t="str">
        <f>IF(P139="","",IFERROR(ROUND(IF(OR(P139="G0B",P139="G0T"),Tabelle5[[#This Row],[AI]]/SUM(LER_01!$L$26:$L$27),Tabelle5[[#This Row],[AI]]/(SUM(LER_01!$K$26:$K$27)+IF(LER_01!$D$10&gt;=4,SUM(LER_01!$M$26:$M$27)))),3),""))</f>
        <v/>
      </c>
      <c r="AK139" s="91" t="str">
        <f>IF(P139="","",IF(OR(P139="SOV",P139="SOB",P139="G0T",P139="G0B"),"",IF(AND(OR(P139="BSS",P139="BFS"),LER_01!$D$10&lt;=2),15%,IF(AND(OR(P139="BSN",P139="BFN"),LER_01!$D$10&gt;=4),100%,25%))))</f>
        <v/>
      </c>
      <c r="AL139" s="77"/>
      <c r="AM139" s="78"/>
      <c r="AN139" s="78"/>
      <c r="AO139" s="79"/>
      <c r="AP139" s="94"/>
      <c r="AQ139" s="31"/>
      <c r="AR139" s="20"/>
      <c r="AS139" s="32" t="str">
        <f t="shared" si="12"/>
        <v/>
      </c>
      <c r="AT139" s="32" t="str">
        <f t="shared" si="13"/>
        <v/>
      </c>
      <c r="AU139" s="32" t="str">
        <f t="shared" si="14"/>
        <v/>
      </c>
      <c r="AV139" s="32" t="str">
        <f t="shared" si="15"/>
        <v/>
      </c>
      <c r="AW139" s="32" t="str">
        <f t="shared" si="16"/>
        <v/>
      </c>
      <c r="AX139" s="32" t="str">
        <f t="shared" si="17"/>
        <v/>
      </c>
      <c r="AY139" s="32" t="str">
        <f t="shared" si="18"/>
        <v/>
      </c>
      <c r="AZ139" s="32" t="str">
        <f t="shared" si="19"/>
        <v/>
      </c>
      <c r="BA139" s="32" t="str">
        <f t="shared" si="20"/>
        <v/>
      </c>
      <c r="BB139" s="32" t="str">
        <f t="shared" si="21"/>
        <v/>
      </c>
      <c r="BC139" s="32" t="str">
        <f>IF(ISBLANK(O139),"",IF(ISBLANK(AO139),"",IF(AO139&gt;='Delivery Note'!$H$5,IF(AO139&lt;='Delivery Note'!$H$5+92,"","ERROR"),"ERROR")))</f>
        <v/>
      </c>
      <c r="BD139" s="32" t="str">
        <f t="shared" si="22"/>
        <v/>
      </c>
      <c r="BE139" s="32" t="str">
        <f t="shared" si="23"/>
        <v/>
      </c>
    </row>
    <row r="140" spans="2:57" x14ac:dyDescent="0.2">
      <c r="B140" s="20"/>
      <c r="C140" s="53"/>
      <c r="E140" s="31">
        <v>140</v>
      </c>
      <c r="F140" s="47"/>
      <c r="G140" s="47"/>
      <c r="H140" s="47"/>
      <c r="I140" s="47"/>
      <c r="J140" s="76"/>
      <c r="K140" s="93"/>
      <c r="L140" s="86"/>
      <c r="M140" s="86"/>
      <c r="N140" s="86"/>
      <c r="O140" s="86"/>
      <c r="P140" s="86"/>
      <c r="Q140" s="86"/>
      <c r="R140" s="86"/>
      <c r="S140" s="86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78"/>
      <c r="AE140" s="78"/>
      <c r="AF140" s="78"/>
      <c r="AG140" s="88"/>
      <c r="AH140" s="78"/>
      <c r="AI140" s="78"/>
      <c r="AJ140" s="95" t="str">
        <f>IF(P140="","",IFERROR(ROUND(IF(OR(P140="G0B",P140="G0T"),Tabelle5[[#This Row],[AI]]/SUM(LER_01!$L$26:$L$27),Tabelle5[[#This Row],[AI]]/(SUM(LER_01!$K$26:$K$27)+IF(LER_01!$D$10&gt;=4,SUM(LER_01!$M$26:$M$27)))),3),""))</f>
        <v/>
      </c>
      <c r="AK140" s="91" t="str">
        <f>IF(P140="","",IF(OR(P140="SOV",P140="SOB",P140="G0T",P140="G0B"),"",IF(AND(OR(P140="BSS",P140="BFS"),LER_01!$D$10&lt;=2),15%,IF(AND(OR(P140="BSN",P140="BFN"),LER_01!$D$10&gt;=4),100%,25%))))</f>
        <v/>
      </c>
      <c r="AL140" s="77"/>
      <c r="AM140" s="78"/>
      <c r="AN140" s="78"/>
      <c r="AO140" s="79"/>
      <c r="AP140" s="94"/>
      <c r="AQ140" s="31"/>
      <c r="AR140" s="20"/>
      <c r="AS140" s="32" t="str">
        <f t="shared" si="12"/>
        <v/>
      </c>
      <c r="AT140" s="32" t="str">
        <f t="shared" si="13"/>
        <v/>
      </c>
      <c r="AU140" s="32" t="str">
        <f t="shared" si="14"/>
        <v/>
      </c>
      <c r="AV140" s="32" t="str">
        <f t="shared" si="15"/>
        <v/>
      </c>
      <c r="AW140" s="32" t="str">
        <f t="shared" si="16"/>
        <v/>
      </c>
      <c r="AX140" s="32" t="str">
        <f t="shared" si="17"/>
        <v/>
      </c>
      <c r="AY140" s="32" t="str">
        <f t="shared" si="18"/>
        <v/>
      </c>
      <c r="AZ140" s="32" t="str">
        <f t="shared" si="19"/>
        <v/>
      </c>
      <c r="BA140" s="32" t="str">
        <f t="shared" si="20"/>
        <v/>
      </c>
      <c r="BB140" s="32" t="str">
        <f t="shared" si="21"/>
        <v/>
      </c>
      <c r="BC140" s="32" t="str">
        <f>IF(ISBLANK(O140),"",IF(ISBLANK(AO140),"",IF(AO140&gt;='Delivery Note'!$H$5,IF(AO140&lt;='Delivery Note'!$H$5+92,"","ERROR"),"ERROR")))</f>
        <v/>
      </c>
      <c r="BD140" s="32" t="str">
        <f t="shared" si="22"/>
        <v/>
      </c>
      <c r="BE140" s="32" t="str">
        <f t="shared" si="23"/>
        <v/>
      </c>
    </row>
    <row r="141" spans="2:57" x14ac:dyDescent="0.2">
      <c r="B141" s="20"/>
      <c r="C141" s="53"/>
      <c r="E141" s="31">
        <v>141</v>
      </c>
      <c r="F141" s="47"/>
      <c r="G141" s="47"/>
      <c r="H141" s="47"/>
      <c r="I141" s="47"/>
      <c r="J141" s="76"/>
      <c r="K141" s="93"/>
      <c r="L141" s="86"/>
      <c r="M141" s="86"/>
      <c r="N141" s="86"/>
      <c r="O141" s="86"/>
      <c r="P141" s="86"/>
      <c r="Q141" s="86"/>
      <c r="R141" s="86"/>
      <c r="S141" s="86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78"/>
      <c r="AE141" s="78"/>
      <c r="AF141" s="78"/>
      <c r="AG141" s="88"/>
      <c r="AH141" s="78"/>
      <c r="AI141" s="78"/>
      <c r="AJ141" s="95" t="str">
        <f>IF(P141="","",IFERROR(ROUND(IF(OR(P141="G0B",P141="G0T"),Tabelle5[[#This Row],[AI]]/SUM(LER_01!$L$26:$L$27),Tabelle5[[#This Row],[AI]]/(SUM(LER_01!$K$26:$K$27)+IF(LER_01!$D$10&gt;=4,SUM(LER_01!$M$26:$M$27)))),3),""))</f>
        <v/>
      </c>
      <c r="AK141" s="91" t="str">
        <f>IF(P141="","",IF(OR(P141="SOV",P141="SOB",P141="G0T",P141="G0B"),"",IF(AND(OR(P141="BSS",P141="BFS"),LER_01!$D$10&lt;=2),15%,IF(AND(OR(P141="BSN",P141="BFN"),LER_01!$D$10&gt;=4),100%,25%))))</f>
        <v/>
      </c>
      <c r="AL141" s="77"/>
      <c r="AM141" s="78"/>
      <c r="AN141" s="78"/>
      <c r="AO141" s="79"/>
      <c r="AP141" s="94"/>
      <c r="AQ141" s="31"/>
      <c r="AR141" s="20"/>
      <c r="AS141" s="32" t="str">
        <f t="shared" si="12"/>
        <v/>
      </c>
      <c r="AT141" s="32" t="str">
        <f t="shared" si="13"/>
        <v/>
      </c>
      <c r="AU141" s="32" t="str">
        <f t="shared" si="14"/>
        <v/>
      </c>
      <c r="AV141" s="32" t="str">
        <f t="shared" si="15"/>
        <v/>
      </c>
      <c r="AW141" s="32" t="str">
        <f t="shared" si="16"/>
        <v/>
      </c>
      <c r="AX141" s="32" t="str">
        <f t="shared" si="17"/>
        <v/>
      </c>
      <c r="AY141" s="32" t="str">
        <f t="shared" si="18"/>
        <v/>
      </c>
      <c r="AZ141" s="32" t="str">
        <f t="shared" si="19"/>
        <v/>
      </c>
      <c r="BA141" s="32" t="str">
        <f t="shared" si="20"/>
        <v/>
      </c>
      <c r="BB141" s="32" t="str">
        <f t="shared" si="21"/>
        <v/>
      </c>
      <c r="BC141" s="32" t="str">
        <f>IF(ISBLANK(O141),"",IF(ISBLANK(AO141),"",IF(AO141&gt;='Delivery Note'!$H$5,IF(AO141&lt;='Delivery Note'!$H$5+92,"","ERROR"),"ERROR")))</f>
        <v/>
      </c>
      <c r="BD141" s="32" t="str">
        <f t="shared" si="22"/>
        <v/>
      </c>
      <c r="BE141" s="32" t="str">
        <f t="shared" si="23"/>
        <v/>
      </c>
    </row>
    <row r="142" spans="2:57" x14ac:dyDescent="0.2">
      <c r="B142" s="20"/>
      <c r="C142" s="53"/>
      <c r="E142" s="31">
        <v>142</v>
      </c>
      <c r="F142" s="47"/>
      <c r="G142" s="47"/>
      <c r="H142" s="47"/>
      <c r="I142" s="47"/>
      <c r="J142" s="76"/>
      <c r="K142" s="93"/>
      <c r="L142" s="86"/>
      <c r="M142" s="86"/>
      <c r="N142" s="86"/>
      <c r="O142" s="86"/>
      <c r="P142" s="86"/>
      <c r="Q142" s="86"/>
      <c r="R142" s="86"/>
      <c r="S142" s="86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78"/>
      <c r="AE142" s="78"/>
      <c r="AF142" s="78"/>
      <c r="AG142" s="88"/>
      <c r="AH142" s="78"/>
      <c r="AI142" s="78"/>
      <c r="AJ142" s="95" t="str">
        <f>IF(P142="","",IFERROR(ROUND(IF(OR(P142="G0B",P142="G0T"),Tabelle5[[#This Row],[AI]]/SUM(LER_01!$L$26:$L$27),Tabelle5[[#This Row],[AI]]/(SUM(LER_01!$K$26:$K$27)+IF(LER_01!$D$10&gt;=4,SUM(LER_01!$M$26:$M$27)))),3),""))</f>
        <v/>
      </c>
      <c r="AK142" s="91" t="str">
        <f>IF(P142="","",IF(OR(P142="SOV",P142="SOB",P142="G0T",P142="G0B"),"",IF(AND(OR(P142="BSS",P142="BFS"),LER_01!$D$10&lt;=2),15%,IF(AND(OR(P142="BSN",P142="BFN"),LER_01!$D$10&gt;=4),100%,25%))))</f>
        <v/>
      </c>
      <c r="AL142" s="77"/>
      <c r="AM142" s="78"/>
      <c r="AN142" s="78"/>
      <c r="AO142" s="79"/>
      <c r="AP142" s="94"/>
      <c r="AQ142" s="31"/>
      <c r="AR142" s="20"/>
      <c r="AS142" s="32" t="str">
        <f t="shared" si="12"/>
        <v/>
      </c>
      <c r="AT142" s="32" t="str">
        <f t="shared" si="13"/>
        <v/>
      </c>
      <c r="AU142" s="32" t="str">
        <f t="shared" si="14"/>
        <v/>
      </c>
      <c r="AV142" s="32" t="str">
        <f t="shared" si="15"/>
        <v/>
      </c>
      <c r="AW142" s="32" t="str">
        <f t="shared" si="16"/>
        <v/>
      </c>
      <c r="AX142" s="32" t="str">
        <f t="shared" si="17"/>
        <v/>
      </c>
      <c r="AY142" s="32" t="str">
        <f t="shared" si="18"/>
        <v/>
      </c>
      <c r="AZ142" s="32" t="str">
        <f t="shared" si="19"/>
        <v/>
      </c>
      <c r="BA142" s="32" t="str">
        <f t="shared" si="20"/>
        <v/>
      </c>
      <c r="BB142" s="32" t="str">
        <f t="shared" si="21"/>
        <v/>
      </c>
      <c r="BC142" s="32" t="str">
        <f>IF(ISBLANK(O142),"",IF(ISBLANK(AO142),"",IF(AO142&gt;='Delivery Note'!$H$5,IF(AO142&lt;='Delivery Note'!$H$5+92,"","ERROR"),"ERROR")))</f>
        <v/>
      </c>
      <c r="BD142" s="32" t="str">
        <f t="shared" si="22"/>
        <v/>
      </c>
      <c r="BE142" s="32" t="str">
        <f t="shared" si="23"/>
        <v/>
      </c>
    </row>
    <row r="143" spans="2:57" x14ac:dyDescent="0.2">
      <c r="B143" s="20"/>
      <c r="C143" s="53"/>
      <c r="E143" s="31">
        <v>143</v>
      </c>
      <c r="F143" s="47"/>
      <c r="G143" s="47"/>
      <c r="H143" s="47"/>
      <c r="I143" s="47"/>
      <c r="J143" s="76"/>
      <c r="K143" s="93"/>
      <c r="L143" s="86"/>
      <c r="M143" s="86"/>
      <c r="N143" s="86"/>
      <c r="O143" s="86"/>
      <c r="P143" s="86"/>
      <c r="Q143" s="86"/>
      <c r="R143" s="86"/>
      <c r="S143" s="86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78"/>
      <c r="AE143" s="78"/>
      <c r="AF143" s="78"/>
      <c r="AG143" s="88"/>
      <c r="AH143" s="78"/>
      <c r="AI143" s="78"/>
      <c r="AJ143" s="95" t="str">
        <f>IF(P143="","",IFERROR(ROUND(IF(OR(P143="G0B",P143="G0T"),Tabelle5[[#This Row],[AI]]/SUM(LER_01!$L$26:$L$27),Tabelle5[[#This Row],[AI]]/(SUM(LER_01!$K$26:$K$27)+IF(LER_01!$D$10&gt;=4,SUM(LER_01!$M$26:$M$27)))),3),""))</f>
        <v/>
      </c>
      <c r="AK143" s="91" t="str">
        <f>IF(P143="","",IF(OR(P143="SOV",P143="SOB",P143="G0T",P143="G0B"),"",IF(AND(OR(P143="BSS",P143="BFS"),LER_01!$D$10&lt;=2),15%,IF(AND(OR(P143="BSN",P143="BFN"),LER_01!$D$10&gt;=4),100%,25%))))</f>
        <v/>
      </c>
      <c r="AL143" s="77"/>
      <c r="AM143" s="78"/>
      <c r="AN143" s="78"/>
      <c r="AO143" s="79"/>
      <c r="AP143" s="94"/>
      <c r="AQ143" s="31"/>
      <c r="AR143" s="20"/>
      <c r="AS143" s="32" t="str">
        <f t="shared" si="12"/>
        <v/>
      </c>
      <c r="AT143" s="32" t="str">
        <f t="shared" si="13"/>
        <v/>
      </c>
      <c r="AU143" s="32" t="str">
        <f t="shared" si="14"/>
        <v/>
      </c>
      <c r="AV143" s="32" t="str">
        <f t="shared" si="15"/>
        <v/>
      </c>
      <c r="AW143" s="32" t="str">
        <f t="shared" si="16"/>
        <v/>
      </c>
      <c r="AX143" s="32" t="str">
        <f t="shared" si="17"/>
        <v/>
      </c>
      <c r="AY143" s="32" t="str">
        <f t="shared" si="18"/>
        <v/>
      </c>
      <c r="AZ143" s="32" t="str">
        <f t="shared" si="19"/>
        <v/>
      </c>
      <c r="BA143" s="32" t="str">
        <f t="shared" si="20"/>
        <v/>
      </c>
      <c r="BB143" s="32" t="str">
        <f t="shared" si="21"/>
        <v/>
      </c>
      <c r="BC143" s="32" t="str">
        <f>IF(ISBLANK(O143),"",IF(ISBLANK(AO143),"",IF(AO143&gt;='Delivery Note'!$H$5,IF(AO143&lt;='Delivery Note'!$H$5+92,"","ERROR"),"ERROR")))</f>
        <v/>
      </c>
      <c r="BD143" s="32" t="str">
        <f t="shared" si="22"/>
        <v/>
      </c>
      <c r="BE143" s="32" t="str">
        <f t="shared" si="23"/>
        <v/>
      </c>
    </row>
    <row r="144" spans="2:57" x14ac:dyDescent="0.2">
      <c r="B144" s="20"/>
      <c r="C144" s="53"/>
      <c r="E144" s="31">
        <v>144</v>
      </c>
      <c r="F144" s="47"/>
      <c r="G144" s="47"/>
      <c r="H144" s="47"/>
      <c r="I144" s="47"/>
      <c r="J144" s="76"/>
      <c r="K144" s="93"/>
      <c r="L144" s="86"/>
      <c r="M144" s="86"/>
      <c r="N144" s="86"/>
      <c r="O144" s="86"/>
      <c r="P144" s="86"/>
      <c r="Q144" s="86"/>
      <c r="R144" s="86"/>
      <c r="S144" s="86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78"/>
      <c r="AE144" s="78"/>
      <c r="AF144" s="78"/>
      <c r="AG144" s="88"/>
      <c r="AH144" s="78"/>
      <c r="AI144" s="78"/>
      <c r="AJ144" s="95" t="str">
        <f>IF(P144="","",IFERROR(ROUND(IF(OR(P144="G0B",P144="G0T"),Tabelle5[[#This Row],[AI]]/SUM(LER_01!$L$26:$L$27),Tabelle5[[#This Row],[AI]]/(SUM(LER_01!$K$26:$K$27)+IF(LER_01!$D$10&gt;=4,SUM(LER_01!$M$26:$M$27)))),3),""))</f>
        <v/>
      </c>
      <c r="AK144" s="91" t="str">
        <f>IF(P144="","",IF(OR(P144="SOV",P144="SOB",P144="G0T",P144="G0B"),"",IF(AND(OR(P144="BSS",P144="BFS"),LER_01!$D$10&lt;=2),15%,IF(AND(OR(P144="BSN",P144="BFN"),LER_01!$D$10&gt;=4),100%,25%))))</f>
        <v/>
      </c>
      <c r="AL144" s="77"/>
      <c r="AM144" s="78"/>
      <c r="AN144" s="78"/>
      <c r="AO144" s="79"/>
      <c r="AP144" s="94"/>
      <c r="AQ144" s="31"/>
      <c r="AR144" s="20"/>
      <c r="AS144" s="32" t="str">
        <f t="shared" si="12"/>
        <v/>
      </c>
      <c r="AT144" s="32" t="str">
        <f t="shared" si="13"/>
        <v/>
      </c>
      <c r="AU144" s="32" t="str">
        <f t="shared" si="14"/>
        <v/>
      </c>
      <c r="AV144" s="32" t="str">
        <f t="shared" si="15"/>
        <v/>
      </c>
      <c r="AW144" s="32" t="str">
        <f t="shared" si="16"/>
        <v/>
      </c>
      <c r="AX144" s="32" t="str">
        <f t="shared" si="17"/>
        <v/>
      </c>
      <c r="AY144" s="32" t="str">
        <f t="shared" si="18"/>
        <v/>
      </c>
      <c r="AZ144" s="32" t="str">
        <f t="shared" si="19"/>
        <v/>
      </c>
      <c r="BA144" s="32" t="str">
        <f t="shared" si="20"/>
        <v/>
      </c>
      <c r="BB144" s="32" t="str">
        <f t="shared" si="21"/>
        <v/>
      </c>
      <c r="BC144" s="32" t="str">
        <f>IF(ISBLANK(O144),"",IF(ISBLANK(AO144),"",IF(AO144&gt;='Delivery Note'!$H$5,IF(AO144&lt;='Delivery Note'!$H$5+92,"","ERROR"),"ERROR")))</f>
        <v/>
      </c>
      <c r="BD144" s="32" t="str">
        <f t="shared" si="22"/>
        <v/>
      </c>
      <c r="BE144" s="32" t="str">
        <f t="shared" si="23"/>
        <v/>
      </c>
    </row>
    <row r="145" spans="2:57" x14ac:dyDescent="0.2">
      <c r="B145" s="20"/>
      <c r="C145" s="53"/>
      <c r="E145" s="31">
        <v>145</v>
      </c>
      <c r="F145" s="47"/>
      <c r="G145" s="47"/>
      <c r="H145" s="47"/>
      <c r="I145" s="47"/>
      <c r="J145" s="76"/>
      <c r="K145" s="93"/>
      <c r="L145" s="86"/>
      <c r="M145" s="86"/>
      <c r="N145" s="86"/>
      <c r="O145" s="86"/>
      <c r="P145" s="86"/>
      <c r="Q145" s="86"/>
      <c r="R145" s="86"/>
      <c r="S145" s="86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78"/>
      <c r="AE145" s="78"/>
      <c r="AF145" s="78"/>
      <c r="AG145" s="88"/>
      <c r="AH145" s="78"/>
      <c r="AI145" s="78"/>
      <c r="AJ145" s="95" t="str">
        <f>IF(P145="","",IFERROR(ROUND(IF(OR(P145="G0B",P145="G0T"),Tabelle5[[#This Row],[AI]]/SUM(LER_01!$L$26:$L$27),Tabelle5[[#This Row],[AI]]/(SUM(LER_01!$K$26:$K$27)+IF(LER_01!$D$10&gt;=4,SUM(LER_01!$M$26:$M$27)))),3),""))</f>
        <v/>
      </c>
      <c r="AK145" s="91" t="str">
        <f>IF(P145="","",IF(OR(P145="SOV",P145="SOB",P145="G0T",P145="G0B"),"",IF(AND(OR(P145="BSS",P145="BFS"),LER_01!$D$10&lt;=2),15%,IF(AND(OR(P145="BSN",P145="BFN"),LER_01!$D$10&gt;=4),100%,25%))))</f>
        <v/>
      </c>
      <c r="AL145" s="77"/>
      <c r="AM145" s="78"/>
      <c r="AN145" s="78"/>
      <c r="AO145" s="79"/>
      <c r="AP145" s="94"/>
      <c r="AQ145" s="31"/>
      <c r="AR145" s="20"/>
      <c r="AS145" s="32" t="str">
        <f t="shared" si="12"/>
        <v/>
      </c>
      <c r="AT145" s="32" t="str">
        <f t="shared" si="13"/>
        <v/>
      </c>
      <c r="AU145" s="32" t="str">
        <f t="shared" si="14"/>
        <v/>
      </c>
      <c r="AV145" s="32" t="str">
        <f t="shared" si="15"/>
        <v/>
      </c>
      <c r="AW145" s="32" t="str">
        <f t="shared" si="16"/>
        <v/>
      </c>
      <c r="AX145" s="32" t="str">
        <f t="shared" si="17"/>
        <v/>
      </c>
      <c r="AY145" s="32" t="str">
        <f t="shared" si="18"/>
        <v/>
      </c>
      <c r="AZ145" s="32" t="str">
        <f t="shared" si="19"/>
        <v/>
      </c>
      <c r="BA145" s="32" t="str">
        <f t="shared" si="20"/>
        <v/>
      </c>
      <c r="BB145" s="32" t="str">
        <f t="shared" si="21"/>
        <v/>
      </c>
      <c r="BC145" s="32" t="str">
        <f>IF(ISBLANK(O145),"",IF(ISBLANK(AO145),"",IF(AO145&gt;='Delivery Note'!$H$5,IF(AO145&lt;='Delivery Note'!$H$5+92,"","ERROR"),"ERROR")))</f>
        <v/>
      </c>
      <c r="BD145" s="32" t="str">
        <f t="shared" si="22"/>
        <v/>
      </c>
      <c r="BE145" s="32" t="str">
        <f t="shared" si="23"/>
        <v/>
      </c>
    </row>
    <row r="146" spans="2:57" x14ac:dyDescent="0.2">
      <c r="B146" s="20"/>
      <c r="C146" s="53"/>
      <c r="E146" s="31">
        <v>146</v>
      </c>
      <c r="F146" s="47"/>
      <c r="G146" s="47"/>
      <c r="H146" s="47"/>
      <c r="I146" s="47"/>
      <c r="J146" s="76"/>
      <c r="K146" s="93"/>
      <c r="L146" s="86"/>
      <c r="M146" s="86"/>
      <c r="N146" s="86"/>
      <c r="O146" s="86"/>
      <c r="P146" s="86"/>
      <c r="Q146" s="86"/>
      <c r="R146" s="86"/>
      <c r="S146" s="86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78"/>
      <c r="AE146" s="78"/>
      <c r="AF146" s="78"/>
      <c r="AG146" s="88"/>
      <c r="AH146" s="78"/>
      <c r="AI146" s="78"/>
      <c r="AJ146" s="95" t="str">
        <f>IF(P146="","",IFERROR(ROUND(IF(OR(P146="G0B",P146="G0T"),Tabelle5[[#This Row],[AI]]/SUM(LER_01!$L$26:$L$27),Tabelle5[[#This Row],[AI]]/(SUM(LER_01!$K$26:$K$27)+IF(LER_01!$D$10&gt;=4,SUM(LER_01!$M$26:$M$27)))),3),""))</f>
        <v/>
      </c>
      <c r="AK146" s="91" t="str">
        <f>IF(P146="","",IF(OR(P146="SOV",P146="SOB",P146="G0T",P146="G0B"),"",IF(AND(OR(P146="BSS",P146="BFS"),LER_01!$D$10&lt;=2),15%,IF(AND(OR(P146="BSN",P146="BFN"),LER_01!$D$10&gt;=4),100%,25%))))</f>
        <v/>
      </c>
      <c r="AL146" s="77"/>
      <c r="AM146" s="78"/>
      <c r="AN146" s="78"/>
      <c r="AO146" s="79"/>
      <c r="AP146" s="94"/>
      <c r="AQ146" s="31"/>
      <c r="AR146" s="20"/>
      <c r="AS146" s="32" t="str">
        <f t="shared" si="12"/>
        <v/>
      </c>
      <c r="AT146" s="32" t="str">
        <f t="shared" si="13"/>
        <v/>
      </c>
      <c r="AU146" s="32" t="str">
        <f t="shared" si="14"/>
        <v/>
      </c>
      <c r="AV146" s="32" t="str">
        <f t="shared" si="15"/>
        <v/>
      </c>
      <c r="AW146" s="32" t="str">
        <f t="shared" si="16"/>
        <v/>
      </c>
      <c r="AX146" s="32" t="str">
        <f t="shared" si="17"/>
        <v/>
      </c>
      <c r="AY146" s="32" t="str">
        <f t="shared" si="18"/>
        <v/>
      </c>
      <c r="AZ146" s="32" t="str">
        <f t="shared" si="19"/>
        <v/>
      </c>
      <c r="BA146" s="32" t="str">
        <f t="shared" si="20"/>
        <v/>
      </c>
      <c r="BB146" s="32" t="str">
        <f t="shared" si="21"/>
        <v/>
      </c>
      <c r="BC146" s="32" t="str">
        <f>IF(ISBLANK(O146),"",IF(ISBLANK(AO146),"",IF(AO146&gt;='Delivery Note'!$H$5,IF(AO146&lt;='Delivery Note'!$H$5+92,"","ERROR"),"ERROR")))</f>
        <v/>
      </c>
      <c r="BD146" s="32" t="str">
        <f t="shared" si="22"/>
        <v/>
      </c>
      <c r="BE146" s="32" t="str">
        <f t="shared" si="23"/>
        <v/>
      </c>
    </row>
    <row r="147" spans="2:57" x14ac:dyDescent="0.2">
      <c r="B147" s="20"/>
      <c r="C147" s="53"/>
      <c r="E147" s="31">
        <v>147</v>
      </c>
      <c r="F147" s="47"/>
      <c r="G147" s="47"/>
      <c r="H147" s="47"/>
      <c r="I147" s="47"/>
      <c r="J147" s="76"/>
      <c r="K147" s="93"/>
      <c r="L147" s="86"/>
      <c r="M147" s="86"/>
      <c r="N147" s="86"/>
      <c r="O147" s="86"/>
      <c r="P147" s="86"/>
      <c r="Q147" s="86"/>
      <c r="R147" s="86"/>
      <c r="S147" s="86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78"/>
      <c r="AE147" s="78"/>
      <c r="AF147" s="78"/>
      <c r="AG147" s="88"/>
      <c r="AH147" s="78"/>
      <c r="AI147" s="78"/>
      <c r="AJ147" s="95" t="str">
        <f>IF(P147="","",IFERROR(ROUND(IF(OR(P147="G0B",P147="G0T"),Tabelle5[[#This Row],[AI]]/SUM(LER_01!$L$26:$L$27),Tabelle5[[#This Row],[AI]]/(SUM(LER_01!$K$26:$K$27)+IF(LER_01!$D$10&gt;=4,SUM(LER_01!$M$26:$M$27)))),3),""))</f>
        <v/>
      </c>
      <c r="AK147" s="91" t="str">
        <f>IF(P147="","",IF(OR(P147="SOV",P147="SOB",P147="G0T",P147="G0B"),"",IF(AND(OR(P147="BSS",P147="BFS"),LER_01!$D$10&lt;=2),15%,IF(AND(OR(P147="BSN",P147="BFN"),LER_01!$D$10&gt;=4),100%,25%))))</f>
        <v/>
      </c>
      <c r="AL147" s="77"/>
      <c r="AM147" s="78"/>
      <c r="AN147" s="78"/>
      <c r="AO147" s="79"/>
      <c r="AP147" s="94"/>
      <c r="AQ147" s="31"/>
      <c r="AR147" s="20"/>
      <c r="AS147" s="32" t="str">
        <f t="shared" si="12"/>
        <v/>
      </c>
      <c r="AT147" s="32" t="str">
        <f t="shared" si="13"/>
        <v/>
      </c>
      <c r="AU147" s="32" t="str">
        <f t="shared" si="14"/>
        <v/>
      </c>
      <c r="AV147" s="32" t="str">
        <f t="shared" si="15"/>
        <v/>
      </c>
      <c r="AW147" s="32" t="str">
        <f t="shared" si="16"/>
        <v/>
      </c>
      <c r="AX147" s="32" t="str">
        <f t="shared" si="17"/>
        <v/>
      </c>
      <c r="AY147" s="32" t="str">
        <f t="shared" si="18"/>
        <v/>
      </c>
      <c r="AZ147" s="32" t="str">
        <f t="shared" si="19"/>
        <v/>
      </c>
      <c r="BA147" s="32" t="str">
        <f t="shared" si="20"/>
        <v/>
      </c>
      <c r="BB147" s="32" t="str">
        <f t="shared" si="21"/>
        <v/>
      </c>
      <c r="BC147" s="32" t="str">
        <f>IF(ISBLANK(O147),"",IF(ISBLANK(AO147),"",IF(AO147&gt;='Delivery Note'!$H$5,IF(AO147&lt;='Delivery Note'!$H$5+92,"","ERROR"),"ERROR")))</f>
        <v/>
      </c>
      <c r="BD147" s="32" t="str">
        <f t="shared" si="22"/>
        <v/>
      </c>
      <c r="BE147" s="32" t="str">
        <f t="shared" si="23"/>
        <v/>
      </c>
    </row>
    <row r="148" spans="2:57" x14ac:dyDescent="0.2">
      <c r="B148" s="20"/>
      <c r="C148" s="53"/>
      <c r="E148" s="31">
        <v>148</v>
      </c>
      <c r="F148" s="47"/>
      <c r="G148" s="47"/>
      <c r="H148" s="47"/>
      <c r="I148" s="47"/>
      <c r="J148" s="76"/>
      <c r="K148" s="93"/>
      <c r="L148" s="86"/>
      <c r="M148" s="86"/>
      <c r="N148" s="86"/>
      <c r="O148" s="86"/>
      <c r="P148" s="86"/>
      <c r="Q148" s="86"/>
      <c r="R148" s="86"/>
      <c r="S148" s="86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78"/>
      <c r="AE148" s="78"/>
      <c r="AF148" s="78"/>
      <c r="AG148" s="88"/>
      <c r="AH148" s="78"/>
      <c r="AI148" s="78"/>
      <c r="AJ148" s="95" t="str">
        <f>IF(P148="","",IFERROR(ROUND(IF(OR(P148="G0B",P148="G0T"),Tabelle5[[#This Row],[AI]]/SUM(LER_01!$L$26:$L$27),Tabelle5[[#This Row],[AI]]/(SUM(LER_01!$K$26:$K$27)+IF(LER_01!$D$10&gt;=4,SUM(LER_01!$M$26:$M$27)))),3),""))</f>
        <v/>
      </c>
      <c r="AK148" s="91" t="str">
        <f>IF(P148="","",IF(OR(P148="SOV",P148="SOB",P148="G0T",P148="G0B"),"",IF(AND(OR(P148="BSS",P148="BFS"),LER_01!$D$10&lt;=2),15%,IF(AND(OR(P148="BSN",P148="BFN"),LER_01!$D$10&gt;=4),100%,25%))))</f>
        <v/>
      </c>
      <c r="AL148" s="77"/>
      <c r="AM148" s="78"/>
      <c r="AN148" s="78"/>
      <c r="AO148" s="79"/>
      <c r="AP148" s="94"/>
      <c r="AQ148" s="31"/>
      <c r="AR148" s="20"/>
      <c r="AS148" s="32" t="str">
        <f t="shared" ref="AS148:AS169" si="24">IF(COUNTBLANK(K148:AP148)=32,"",IF(OR(COUNTA(K148,L148,O148,P148,Q148,R148,S148,AC148,AH148,AI148,AM148)=11,AND(OR(P148="G1T",P148="G0T"),COUNTA(AH148)=1)),"","ERROR"))</f>
        <v/>
      </c>
      <c r="AT148" s="32" t="str">
        <f t="shared" ref="AT148:AT169" si="25">IF(ISBLANK(M148),"",IF(LEN(M148)=20,"","ERROR"))</f>
        <v/>
      </c>
      <c r="AU148" s="32" t="str">
        <f t="shared" ref="AU148:AU169" si="26">IF(ISBLANK(N148),"",IF(AND(LEFT(N148,3)="CHE",ISNUMBER(MID(N148,4,9)+0),LEN(N148)=12),"","ERROR"))</f>
        <v/>
      </c>
      <c r="AV148" s="32" t="str">
        <f t="shared" ref="AV148:AV169" si="27">IF(COUNTIF(O$19:O$169,O148)&gt;1,"Duplicate","")</f>
        <v/>
      </c>
      <c r="AW148" s="32" t="str">
        <f t="shared" ref="AW148:AW169" si="28">IF(ISBLANK(O148),"",IF(ABS(AC148-SUM(U148,V148,W148,X148,Y148,Z148,AA148,AB148))&lt;=0.5,"","ERROR"))</f>
        <v/>
      </c>
      <c r="AX148" s="32" t="str">
        <f t="shared" ref="AX148:AX169" si="29">IF(ISBLANK(O148),"",IF(AC148+SUM(AD148,AE148,AF148,AG148)&gt;=AH148-0.5,"","ERROR"))</f>
        <v/>
      </c>
      <c r="AY148" s="32" t="str">
        <f t="shared" ref="AY148:AY169" si="30">IF(ISBLANK(O148),"",IF(AH148&gt;=AI148-0.5,"","ERROR"))</f>
        <v/>
      </c>
      <c r="AZ148" s="32" t="str">
        <f t="shared" ref="AZ148:AZ169" si="31">IF(ISBLANK(O148),"",IF(AI148&gt;=AN148-0.5,"","ERROR"))</f>
        <v/>
      </c>
      <c r="BA148" s="32" t="str">
        <f t="shared" ref="BA148:BA169" si="32">IF(ISBLANK(O148),"",IF(T148&gt;=0,"","ERROR"))</f>
        <v/>
      </c>
      <c r="BB148" s="32" t="str">
        <f t="shared" ref="BB148:BB169" si="33">IF(ISBLANK(O148),"",IF(COUNTIF(AD148:AG148,"&gt;0")&gt;0,"ERROR",""))</f>
        <v/>
      </c>
      <c r="BC148" s="32" t="str">
        <f>IF(ISBLANK(O148),"",IF(ISBLANK(AO148),"",IF(AO148&gt;='Delivery Note'!$H$5,IF(AO148&lt;='Delivery Note'!$H$5+92,"","ERROR"),"ERROR")))</f>
        <v/>
      </c>
      <c r="BD148" s="32" t="str">
        <f t="shared" ref="BD148:BD169" si="34">IF(COUNTBLANK(K148:AP148)=32,"",IF(AND(COUNTIF(P$19:P$169,"G0T")&gt;0,COUNTIF(P$19:P$169,"G1T")&gt;0),IF(AND(OR(P148="G0T",P148="G1T"),OR(ISBLANK(AH148),AH148&lt;0)),"WARNING",""),"WARNING"))</f>
        <v/>
      </c>
      <c r="BE148" s="32" t="str">
        <f t="shared" ref="BE148:BE169" si="35">IF(ISBLANK(P148),"",IF(AND(OR(P148="OTH", P148="PDT"), ISBLANK(AP148)), "WARNING", ""))</f>
        <v/>
      </c>
    </row>
    <row r="149" spans="2:57" x14ac:dyDescent="0.2">
      <c r="B149" s="20"/>
      <c r="C149" s="53"/>
      <c r="E149" s="31">
        <v>149</v>
      </c>
      <c r="F149" s="47"/>
      <c r="G149" s="47"/>
      <c r="H149" s="47"/>
      <c r="I149" s="47"/>
      <c r="J149" s="76"/>
      <c r="K149" s="93"/>
      <c r="L149" s="86"/>
      <c r="M149" s="86"/>
      <c r="N149" s="86"/>
      <c r="O149" s="86"/>
      <c r="P149" s="86"/>
      <c r="Q149" s="86"/>
      <c r="R149" s="86"/>
      <c r="S149" s="86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78"/>
      <c r="AE149" s="78"/>
      <c r="AF149" s="78"/>
      <c r="AG149" s="88"/>
      <c r="AH149" s="78"/>
      <c r="AI149" s="78"/>
      <c r="AJ149" s="95" t="str">
        <f>IF(P149="","",IFERROR(ROUND(IF(OR(P149="G0B",P149="G0T"),Tabelle5[[#This Row],[AI]]/SUM(LER_01!$L$26:$L$27),Tabelle5[[#This Row],[AI]]/(SUM(LER_01!$K$26:$K$27)+IF(LER_01!$D$10&gt;=4,SUM(LER_01!$M$26:$M$27)))),3),""))</f>
        <v/>
      </c>
      <c r="AK149" s="91" t="str">
        <f>IF(P149="","",IF(OR(P149="SOV",P149="SOB",P149="G0T",P149="G0B"),"",IF(AND(OR(P149="BSS",P149="BFS"),LER_01!$D$10&lt;=2),15%,IF(AND(OR(P149="BSN",P149="BFN"),LER_01!$D$10&gt;=4),100%,25%))))</f>
        <v/>
      </c>
      <c r="AL149" s="77"/>
      <c r="AM149" s="78"/>
      <c r="AN149" s="78"/>
      <c r="AO149" s="79"/>
      <c r="AP149" s="94"/>
      <c r="AQ149" s="31"/>
      <c r="AR149" s="20"/>
      <c r="AS149" s="32" t="str">
        <f t="shared" si="24"/>
        <v/>
      </c>
      <c r="AT149" s="32" t="str">
        <f t="shared" si="25"/>
        <v/>
      </c>
      <c r="AU149" s="32" t="str">
        <f t="shared" si="26"/>
        <v/>
      </c>
      <c r="AV149" s="32" t="str">
        <f t="shared" si="27"/>
        <v/>
      </c>
      <c r="AW149" s="32" t="str">
        <f t="shared" si="28"/>
        <v/>
      </c>
      <c r="AX149" s="32" t="str">
        <f t="shared" si="29"/>
        <v/>
      </c>
      <c r="AY149" s="32" t="str">
        <f t="shared" si="30"/>
        <v/>
      </c>
      <c r="AZ149" s="32" t="str">
        <f t="shared" si="31"/>
        <v/>
      </c>
      <c r="BA149" s="32" t="str">
        <f t="shared" si="32"/>
        <v/>
      </c>
      <c r="BB149" s="32" t="str">
        <f t="shared" si="33"/>
        <v/>
      </c>
      <c r="BC149" s="32" t="str">
        <f>IF(ISBLANK(O149),"",IF(ISBLANK(AO149),"",IF(AO149&gt;='Delivery Note'!$H$5,IF(AO149&lt;='Delivery Note'!$H$5+92,"","ERROR"),"ERROR")))</f>
        <v/>
      </c>
      <c r="BD149" s="32" t="str">
        <f t="shared" si="34"/>
        <v/>
      </c>
      <c r="BE149" s="32" t="str">
        <f t="shared" si="35"/>
        <v/>
      </c>
    </row>
    <row r="150" spans="2:57" x14ac:dyDescent="0.2">
      <c r="B150" s="20"/>
      <c r="C150" s="53"/>
      <c r="E150" s="31">
        <v>150</v>
      </c>
      <c r="F150" s="47"/>
      <c r="G150" s="47"/>
      <c r="H150" s="47"/>
      <c r="I150" s="47"/>
      <c r="J150" s="76"/>
      <c r="K150" s="93"/>
      <c r="L150" s="86"/>
      <c r="M150" s="86"/>
      <c r="N150" s="86"/>
      <c r="O150" s="86"/>
      <c r="P150" s="86"/>
      <c r="Q150" s="86"/>
      <c r="R150" s="86"/>
      <c r="S150" s="86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78"/>
      <c r="AE150" s="78"/>
      <c r="AF150" s="78"/>
      <c r="AG150" s="88"/>
      <c r="AH150" s="78"/>
      <c r="AI150" s="78"/>
      <c r="AJ150" s="95" t="str">
        <f>IF(P150="","",IFERROR(ROUND(IF(OR(P150="G0B",P150="G0T"),Tabelle5[[#This Row],[AI]]/SUM(LER_01!$L$26:$L$27),Tabelle5[[#This Row],[AI]]/(SUM(LER_01!$K$26:$K$27)+IF(LER_01!$D$10&gt;=4,SUM(LER_01!$M$26:$M$27)))),3),""))</f>
        <v/>
      </c>
      <c r="AK150" s="91" t="str">
        <f>IF(P150="","",IF(OR(P150="SOV",P150="SOB",P150="G0T",P150="G0B"),"",IF(AND(OR(P150="BSS",P150="BFS"),LER_01!$D$10&lt;=2),15%,IF(AND(OR(P150="BSN",P150="BFN"),LER_01!$D$10&gt;=4),100%,25%))))</f>
        <v/>
      </c>
      <c r="AL150" s="77"/>
      <c r="AM150" s="78"/>
      <c r="AN150" s="78"/>
      <c r="AO150" s="79"/>
      <c r="AP150" s="94"/>
      <c r="AQ150" s="31"/>
      <c r="AR150" s="20"/>
      <c r="AS150" s="32" t="str">
        <f t="shared" si="24"/>
        <v/>
      </c>
      <c r="AT150" s="32" t="str">
        <f t="shared" si="25"/>
        <v/>
      </c>
      <c r="AU150" s="32" t="str">
        <f t="shared" si="26"/>
        <v/>
      </c>
      <c r="AV150" s="32" t="str">
        <f t="shared" si="27"/>
        <v/>
      </c>
      <c r="AW150" s="32" t="str">
        <f t="shared" si="28"/>
        <v/>
      </c>
      <c r="AX150" s="32" t="str">
        <f t="shared" si="29"/>
        <v/>
      </c>
      <c r="AY150" s="32" t="str">
        <f t="shared" si="30"/>
        <v/>
      </c>
      <c r="AZ150" s="32" t="str">
        <f t="shared" si="31"/>
        <v/>
      </c>
      <c r="BA150" s="32" t="str">
        <f t="shared" si="32"/>
        <v/>
      </c>
      <c r="BB150" s="32" t="str">
        <f t="shared" si="33"/>
        <v/>
      </c>
      <c r="BC150" s="32" t="str">
        <f>IF(ISBLANK(O150),"",IF(ISBLANK(AO150),"",IF(AO150&gt;='Delivery Note'!$H$5,IF(AO150&lt;='Delivery Note'!$H$5+92,"","ERROR"),"ERROR")))</f>
        <v/>
      </c>
      <c r="BD150" s="32" t="str">
        <f t="shared" si="34"/>
        <v/>
      </c>
      <c r="BE150" s="32" t="str">
        <f t="shared" si="35"/>
        <v/>
      </c>
    </row>
    <row r="151" spans="2:57" x14ac:dyDescent="0.2">
      <c r="B151" s="20"/>
      <c r="C151" s="53"/>
      <c r="E151" s="31">
        <v>151</v>
      </c>
      <c r="F151" s="47"/>
      <c r="G151" s="47"/>
      <c r="H151" s="47"/>
      <c r="I151" s="47"/>
      <c r="J151" s="76"/>
      <c r="K151" s="93"/>
      <c r="L151" s="86"/>
      <c r="M151" s="86"/>
      <c r="N151" s="86"/>
      <c r="O151" s="86"/>
      <c r="P151" s="86"/>
      <c r="Q151" s="86"/>
      <c r="R151" s="86"/>
      <c r="S151" s="86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78"/>
      <c r="AE151" s="78"/>
      <c r="AF151" s="78"/>
      <c r="AG151" s="88"/>
      <c r="AH151" s="78"/>
      <c r="AI151" s="78"/>
      <c r="AJ151" s="95" t="str">
        <f>IF(P151="","",IFERROR(ROUND(IF(OR(P151="G0B",P151="G0T"),Tabelle5[[#This Row],[AI]]/SUM(LER_01!$L$26:$L$27),Tabelle5[[#This Row],[AI]]/(SUM(LER_01!$K$26:$K$27)+IF(LER_01!$D$10&gt;=4,SUM(LER_01!$M$26:$M$27)))),3),""))</f>
        <v/>
      </c>
      <c r="AK151" s="91" t="str">
        <f>IF(P151="","",IF(OR(P151="SOV",P151="SOB",P151="G0T",P151="G0B"),"",IF(AND(OR(P151="BSS",P151="BFS"),LER_01!$D$10&lt;=2),15%,IF(AND(OR(P151="BSN",P151="BFN"),LER_01!$D$10&gt;=4),100%,25%))))</f>
        <v/>
      </c>
      <c r="AL151" s="77"/>
      <c r="AM151" s="78"/>
      <c r="AN151" s="78"/>
      <c r="AO151" s="79"/>
      <c r="AP151" s="94"/>
      <c r="AQ151" s="31"/>
      <c r="AR151" s="20"/>
      <c r="AS151" s="32" t="str">
        <f t="shared" si="24"/>
        <v/>
      </c>
      <c r="AT151" s="32" t="str">
        <f t="shared" si="25"/>
        <v/>
      </c>
      <c r="AU151" s="32" t="str">
        <f t="shared" si="26"/>
        <v/>
      </c>
      <c r="AV151" s="32" t="str">
        <f t="shared" si="27"/>
        <v/>
      </c>
      <c r="AW151" s="32" t="str">
        <f t="shared" si="28"/>
        <v/>
      </c>
      <c r="AX151" s="32" t="str">
        <f t="shared" si="29"/>
        <v/>
      </c>
      <c r="AY151" s="32" t="str">
        <f t="shared" si="30"/>
        <v/>
      </c>
      <c r="AZ151" s="32" t="str">
        <f t="shared" si="31"/>
        <v/>
      </c>
      <c r="BA151" s="32" t="str">
        <f t="shared" si="32"/>
        <v/>
      </c>
      <c r="BB151" s="32" t="str">
        <f t="shared" si="33"/>
        <v/>
      </c>
      <c r="BC151" s="32" t="str">
        <f>IF(ISBLANK(O151),"",IF(ISBLANK(AO151),"",IF(AO151&gt;='Delivery Note'!$H$5,IF(AO151&lt;='Delivery Note'!$H$5+92,"","ERROR"),"ERROR")))</f>
        <v/>
      </c>
      <c r="BD151" s="32" t="str">
        <f t="shared" si="34"/>
        <v/>
      </c>
      <c r="BE151" s="32" t="str">
        <f t="shared" si="35"/>
        <v/>
      </c>
    </row>
    <row r="152" spans="2:57" x14ac:dyDescent="0.2">
      <c r="B152" s="20"/>
      <c r="C152" s="53"/>
      <c r="E152" s="31">
        <v>152</v>
      </c>
      <c r="F152" s="47"/>
      <c r="G152" s="47"/>
      <c r="H152" s="47"/>
      <c r="I152" s="47"/>
      <c r="J152" s="76"/>
      <c r="K152" s="93"/>
      <c r="L152" s="86"/>
      <c r="M152" s="86"/>
      <c r="N152" s="86"/>
      <c r="O152" s="86"/>
      <c r="P152" s="86"/>
      <c r="Q152" s="86"/>
      <c r="R152" s="86"/>
      <c r="S152" s="86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78"/>
      <c r="AE152" s="78"/>
      <c r="AF152" s="78"/>
      <c r="AG152" s="88"/>
      <c r="AH152" s="78"/>
      <c r="AI152" s="78"/>
      <c r="AJ152" s="95" t="str">
        <f>IF(P152="","",IFERROR(ROUND(IF(OR(P152="G0B",P152="G0T"),Tabelle5[[#This Row],[AI]]/SUM(LER_01!$L$26:$L$27),Tabelle5[[#This Row],[AI]]/(SUM(LER_01!$K$26:$K$27)+IF(LER_01!$D$10&gt;=4,SUM(LER_01!$M$26:$M$27)))),3),""))</f>
        <v/>
      </c>
      <c r="AK152" s="91" t="str">
        <f>IF(P152="","",IF(OR(P152="SOV",P152="SOB",P152="G0T",P152="G0B"),"",IF(AND(OR(P152="BSS",P152="BFS"),LER_01!$D$10&lt;=2),15%,IF(AND(OR(P152="BSN",P152="BFN"),LER_01!$D$10&gt;=4),100%,25%))))</f>
        <v/>
      </c>
      <c r="AL152" s="77"/>
      <c r="AM152" s="78"/>
      <c r="AN152" s="78"/>
      <c r="AO152" s="79"/>
      <c r="AP152" s="94"/>
      <c r="AQ152" s="31"/>
      <c r="AR152" s="20"/>
      <c r="AS152" s="32" t="str">
        <f t="shared" si="24"/>
        <v/>
      </c>
      <c r="AT152" s="32" t="str">
        <f t="shared" si="25"/>
        <v/>
      </c>
      <c r="AU152" s="32" t="str">
        <f t="shared" si="26"/>
        <v/>
      </c>
      <c r="AV152" s="32" t="str">
        <f t="shared" si="27"/>
        <v/>
      </c>
      <c r="AW152" s="32" t="str">
        <f t="shared" si="28"/>
        <v/>
      </c>
      <c r="AX152" s="32" t="str">
        <f t="shared" si="29"/>
        <v/>
      </c>
      <c r="AY152" s="32" t="str">
        <f t="shared" si="30"/>
        <v/>
      </c>
      <c r="AZ152" s="32" t="str">
        <f t="shared" si="31"/>
        <v/>
      </c>
      <c r="BA152" s="32" t="str">
        <f t="shared" si="32"/>
        <v/>
      </c>
      <c r="BB152" s="32" t="str">
        <f t="shared" si="33"/>
        <v/>
      </c>
      <c r="BC152" s="32" t="str">
        <f>IF(ISBLANK(O152),"",IF(ISBLANK(AO152),"",IF(AO152&gt;='Delivery Note'!$H$5,IF(AO152&lt;='Delivery Note'!$H$5+92,"","ERROR"),"ERROR")))</f>
        <v/>
      </c>
      <c r="BD152" s="32" t="str">
        <f t="shared" si="34"/>
        <v/>
      </c>
      <c r="BE152" s="32" t="str">
        <f t="shared" si="35"/>
        <v/>
      </c>
    </row>
    <row r="153" spans="2:57" x14ac:dyDescent="0.2">
      <c r="B153" s="20"/>
      <c r="C153" s="53"/>
      <c r="E153" s="31">
        <v>153</v>
      </c>
      <c r="F153" s="47"/>
      <c r="G153" s="47"/>
      <c r="H153" s="47"/>
      <c r="I153" s="47"/>
      <c r="J153" s="76"/>
      <c r="K153" s="93"/>
      <c r="L153" s="86"/>
      <c r="M153" s="86"/>
      <c r="N153" s="86"/>
      <c r="O153" s="86"/>
      <c r="P153" s="86"/>
      <c r="Q153" s="86"/>
      <c r="R153" s="86"/>
      <c r="S153" s="86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78"/>
      <c r="AE153" s="78"/>
      <c r="AF153" s="78"/>
      <c r="AG153" s="88"/>
      <c r="AH153" s="78"/>
      <c r="AI153" s="78"/>
      <c r="AJ153" s="95" t="str">
        <f>IF(P153="","",IFERROR(ROUND(IF(OR(P153="G0B",P153="G0T"),Tabelle5[[#This Row],[AI]]/SUM(LER_01!$L$26:$L$27),Tabelle5[[#This Row],[AI]]/(SUM(LER_01!$K$26:$K$27)+IF(LER_01!$D$10&gt;=4,SUM(LER_01!$M$26:$M$27)))),3),""))</f>
        <v/>
      </c>
      <c r="AK153" s="91" t="str">
        <f>IF(P153="","",IF(OR(P153="SOV",P153="SOB",P153="G0T",P153="G0B"),"",IF(AND(OR(P153="BSS",P153="BFS"),LER_01!$D$10&lt;=2),15%,IF(AND(OR(P153="BSN",P153="BFN"),LER_01!$D$10&gt;=4),100%,25%))))</f>
        <v/>
      </c>
      <c r="AL153" s="77"/>
      <c r="AM153" s="78"/>
      <c r="AN153" s="78"/>
      <c r="AO153" s="79"/>
      <c r="AP153" s="94"/>
      <c r="AQ153" s="31"/>
      <c r="AR153" s="20"/>
      <c r="AS153" s="32" t="str">
        <f t="shared" si="24"/>
        <v/>
      </c>
      <c r="AT153" s="32" t="str">
        <f t="shared" si="25"/>
        <v/>
      </c>
      <c r="AU153" s="32" t="str">
        <f t="shared" si="26"/>
        <v/>
      </c>
      <c r="AV153" s="32" t="str">
        <f t="shared" si="27"/>
        <v/>
      </c>
      <c r="AW153" s="32" t="str">
        <f t="shared" si="28"/>
        <v/>
      </c>
      <c r="AX153" s="32" t="str">
        <f t="shared" si="29"/>
        <v/>
      </c>
      <c r="AY153" s="32" t="str">
        <f t="shared" si="30"/>
        <v/>
      </c>
      <c r="AZ153" s="32" t="str">
        <f t="shared" si="31"/>
        <v/>
      </c>
      <c r="BA153" s="32" t="str">
        <f t="shared" si="32"/>
        <v/>
      </c>
      <c r="BB153" s="32" t="str">
        <f t="shared" si="33"/>
        <v/>
      </c>
      <c r="BC153" s="32" t="str">
        <f>IF(ISBLANK(O153),"",IF(ISBLANK(AO153),"",IF(AO153&gt;='Delivery Note'!$H$5,IF(AO153&lt;='Delivery Note'!$H$5+92,"","ERROR"),"ERROR")))</f>
        <v/>
      </c>
      <c r="BD153" s="32" t="str">
        <f t="shared" si="34"/>
        <v/>
      </c>
      <c r="BE153" s="32" t="str">
        <f t="shared" si="35"/>
        <v/>
      </c>
    </row>
    <row r="154" spans="2:57" x14ac:dyDescent="0.2">
      <c r="B154" s="20"/>
      <c r="C154" s="53"/>
      <c r="E154" s="31">
        <v>154</v>
      </c>
      <c r="F154" s="47"/>
      <c r="G154" s="47"/>
      <c r="H154" s="47"/>
      <c r="I154" s="47"/>
      <c r="J154" s="76"/>
      <c r="K154" s="93"/>
      <c r="L154" s="86"/>
      <c r="M154" s="86"/>
      <c r="N154" s="86"/>
      <c r="O154" s="86"/>
      <c r="P154" s="86"/>
      <c r="Q154" s="86"/>
      <c r="R154" s="86"/>
      <c r="S154" s="86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78"/>
      <c r="AE154" s="78"/>
      <c r="AF154" s="78"/>
      <c r="AG154" s="88"/>
      <c r="AH154" s="78"/>
      <c r="AI154" s="78"/>
      <c r="AJ154" s="95" t="str">
        <f>IF(P154="","",IFERROR(ROUND(IF(OR(P154="G0B",P154="G0T"),Tabelle5[[#This Row],[AI]]/SUM(LER_01!$L$26:$L$27),Tabelle5[[#This Row],[AI]]/(SUM(LER_01!$K$26:$K$27)+IF(LER_01!$D$10&gt;=4,SUM(LER_01!$M$26:$M$27)))),3),""))</f>
        <v/>
      </c>
      <c r="AK154" s="91" t="str">
        <f>IF(P154="","",IF(OR(P154="SOV",P154="SOB",P154="G0T",P154="G0B"),"",IF(AND(OR(P154="BSS",P154="BFS"),LER_01!$D$10&lt;=2),15%,IF(AND(OR(P154="BSN",P154="BFN"),LER_01!$D$10&gt;=4),100%,25%))))</f>
        <v/>
      </c>
      <c r="AL154" s="77"/>
      <c r="AM154" s="78"/>
      <c r="AN154" s="78"/>
      <c r="AO154" s="79"/>
      <c r="AP154" s="94"/>
      <c r="AQ154" s="31"/>
      <c r="AR154" s="20"/>
      <c r="AS154" s="32" t="str">
        <f t="shared" si="24"/>
        <v/>
      </c>
      <c r="AT154" s="32" t="str">
        <f t="shared" si="25"/>
        <v/>
      </c>
      <c r="AU154" s="32" t="str">
        <f t="shared" si="26"/>
        <v/>
      </c>
      <c r="AV154" s="32" t="str">
        <f t="shared" si="27"/>
        <v/>
      </c>
      <c r="AW154" s="32" t="str">
        <f t="shared" si="28"/>
        <v/>
      </c>
      <c r="AX154" s="32" t="str">
        <f t="shared" si="29"/>
        <v/>
      </c>
      <c r="AY154" s="32" t="str">
        <f t="shared" si="30"/>
        <v/>
      </c>
      <c r="AZ154" s="32" t="str">
        <f t="shared" si="31"/>
        <v/>
      </c>
      <c r="BA154" s="32" t="str">
        <f t="shared" si="32"/>
        <v/>
      </c>
      <c r="BB154" s="32" t="str">
        <f t="shared" si="33"/>
        <v/>
      </c>
      <c r="BC154" s="32" t="str">
        <f>IF(ISBLANK(O154),"",IF(ISBLANK(AO154),"",IF(AO154&gt;='Delivery Note'!$H$5,IF(AO154&lt;='Delivery Note'!$H$5+92,"","ERROR"),"ERROR")))</f>
        <v/>
      </c>
      <c r="BD154" s="32" t="str">
        <f t="shared" si="34"/>
        <v/>
      </c>
      <c r="BE154" s="32" t="str">
        <f t="shared" si="35"/>
        <v/>
      </c>
    </row>
    <row r="155" spans="2:57" x14ac:dyDescent="0.2">
      <c r="B155" s="20"/>
      <c r="C155" s="53"/>
      <c r="E155" s="31">
        <v>155</v>
      </c>
      <c r="F155" s="47"/>
      <c r="G155" s="47"/>
      <c r="H155" s="47"/>
      <c r="I155" s="47"/>
      <c r="J155" s="76"/>
      <c r="K155" s="93"/>
      <c r="L155" s="86"/>
      <c r="M155" s="86"/>
      <c r="N155" s="86"/>
      <c r="O155" s="86"/>
      <c r="P155" s="86"/>
      <c r="Q155" s="86"/>
      <c r="R155" s="86"/>
      <c r="S155" s="86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78"/>
      <c r="AE155" s="78"/>
      <c r="AF155" s="78"/>
      <c r="AG155" s="88"/>
      <c r="AH155" s="78"/>
      <c r="AI155" s="78"/>
      <c r="AJ155" s="95" t="str">
        <f>IF(P155="","",IFERROR(ROUND(IF(OR(P155="G0B",P155="G0T"),Tabelle5[[#This Row],[AI]]/SUM(LER_01!$L$26:$L$27),Tabelle5[[#This Row],[AI]]/(SUM(LER_01!$K$26:$K$27)+IF(LER_01!$D$10&gt;=4,SUM(LER_01!$M$26:$M$27)))),3),""))</f>
        <v/>
      </c>
      <c r="AK155" s="91" t="str">
        <f>IF(P155="","",IF(OR(P155="SOV",P155="SOB",P155="G0T",P155="G0B"),"",IF(AND(OR(P155="BSS",P155="BFS"),LER_01!$D$10&lt;=2),15%,IF(AND(OR(P155="BSN",P155="BFN"),LER_01!$D$10&gt;=4),100%,25%))))</f>
        <v/>
      </c>
      <c r="AL155" s="77"/>
      <c r="AM155" s="78"/>
      <c r="AN155" s="78"/>
      <c r="AO155" s="79"/>
      <c r="AP155" s="94"/>
      <c r="AQ155" s="31"/>
      <c r="AR155" s="20"/>
      <c r="AS155" s="32" t="str">
        <f t="shared" si="24"/>
        <v/>
      </c>
      <c r="AT155" s="32" t="str">
        <f t="shared" si="25"/>
        <v/>
      </c>
      <c r="AU155" s="32" t="str">
        <f t="shared" si="26"/>
        <v/>
      </c>
      <c r="AV155" s="32" t="str">
        <f t="shared" si="27"/>
        <v/>
      </c>
      <c r="AW155" s="32" t="str">
        <f t="shared" si="28"/>
        <v/>
      </c>
      <c r="AX155" s="32" t="str">
        <f t="shared" si="29"/>
        <v/>
      </c>
      <c r="AY155" s="32" t="str">
        <f t="shared" si="30"/>
        <v/>
      </c>
      <c r="AZ155" s="32" t="str">
        <f t="shared" si="31"/>
        <v/>
      </c>
      <c r="BA155" s="32" t="str">
        <f t="shared" si="32"/>
        <v/>
      </c>
      <c r="BB155" s="32" t="str">
        <f t="shared" si="33"/>
        <v/>
      </c>
      <c r="BC155" s="32" t="str">
        <f>IF(ISBLANK(O155),"",IF(ISBLANK(AO155),"",IF(AO155&gt;='Delivery Note'!$H$5,IF(AO155&lt;='Delivery Note'!$H$5+92,"","ERROR"),"ERROR")))</f>
        <v/>
      </c>
      <c r="BD155" s="32" t="str">
        <f t="shared" si="34"/>
        <v/>
      </c>
      <c r="BE155" s="32" t="str">
        <f t="shared" si="35"/>
        <v/>
      </c>
    </row>
    <row r="156" spans="2:57" x14ac:dyDescent="0.2">
      <c r="B156" s="20"/>
      <c r="C156" s="53"/>
      <c r="E156" s="31">
        <v>156</v>
      </c>
      <c r="F156" s="47"/>
      <c r="G156" s="47"/>
      <c r="H156" s="47"/>
      <c r="I156" s="47"/>
      <c r="J156" s="76"/>
      <c r="K156" s="93"/>
      <c r="L156" s="86"/>
      <c r="M156" s="86"/>
      <c r="N156" s="86"/>
      <c r="O156" s="86"/>
      <c r="P156" s="86"/>
      <c r="Q156" s="86"/>
      <c r="R156" s="86"/>
      <c r="S156" s="86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78"/>
      <c r="AE156" s="78"/>
      <c r="AF156" s="78"/>
      <c r="AG156" s="88"/>
      <c r="AH156" s="78"/>
      <c r="AI156" s="78"/>
      <c r="AJ156" s="95" t="str">
        <f>IF(P156="","",IFERROR(ROUND(IF(OR(P156="G0B",P156="G0T"),Tabelle5[[#This Row],[AI]]/SUM(LER_01!$L$26:$L$27),Tabelle5[[#This Row],[AI]]/(SUM(LER_01!$K$26:$K$27)+IF(LER_01!$D$10&gt;=4,SUM(LER_01!$M$26:$M$27)))),3),""))</f>
        <v/>
      </c>
      <c r="AK156" s="91" t="str">
        <f>IF(P156="","",IF(OR(P156="SOV",P156="SOB",P156="G0T",P156="G0B"),"",IF(AND(OR(P156="BSS",P156="BFS"),LER_01!$D$10&lt;=2),15%,IF(AND(OR(P156="BSN",P156="BFN"),LER_01!$D$10&gt;=4),100%,25%))))</f>
        <v/>
      </c>
      <c r="AL156" s="77"/>
      <c r="AM156" s="78"/>
      <c r="AN156" s="78"/>
      <c r="AO156" s="79"/>
      <c r="AP156" s="94"/>
      <c r="AQ156" s="31"/>
      <c r="AR156" s="20"/>
      <c r="AS156" s="32" t="str">
        <f t="shared" si="24"/>
        <v/>
      </c>
      <c r="AT156" s="32" t="str">
        <f t="shared" si="25"/>
        <v/>
      </c>
      <c r="AU156" s="32" t="str">
        <f t="shared" si="26"/>
        <v/>
      </c>
      <c r="AV156" s="32" t="str">
        <f t="shared" si="27"/>
        <v/>
      </c>
      <c r="AW156" s="32" t="str">
        <f t="shared" si="28"/>
        <v/>
      </c>
      <c r="AX156" s="32" t="str">
        <f t="shared" si="29"/>
        <v/>
      </c>
      <c r="AY156" s="32" t="str">
        <f t="shared" si="30"/>
        <v/>
      </c>
      <c r="AZ156" s="32" t="str">
        <f t="shared" si="31"/>
        <v/>
      </c>
      <c r="BA156" s="32" t="str">
        <f t="shared" si="32"/>
        <v/>
      </c>
      <c r="BB156" s="32" t="str">
        <f t="shared" si="33"/>
        <v/>
      </c>
      <c r="BC156" s="32" t="str">
        <f>IF(ISBLANK(O156),"",IF(ISBLANK(AO156),"",IF(AO156&gt;='Delivery Note'!$H$5,IF(AO156&lt;='Delivery Note'!$H$5+92,"","ERROR"),"ERROR")))</f>
        <v/>
      </c>
      <c r="BD156" s="32" t="str">
        <f t="shared" si="34"/>
        <v/>
      </c>
      <c r="BE156" s="32" t="str">
        <f t="shared" si="35"/>
        <v/>
      </c>
    </row>
    <row r="157" spans="2:57" x14ac:dyDescent="0.2">
      <c r="B157" s="20"/>
      <c r="C157" s="53"/>
      <c r="E157" s="31">
        <v>157</v>
      </c>
      <c r="F157" s="47"/>
      <c r="G157" s="47"/>
      <c r="H157" s="47"/>
      <c r="I157" s="47"/>
      <c r="J157" s="76"/>
      <c r="K157" s="93"/>
      <c r="L157" s="86"/>
      <c r="M157" s="86"/>
      <c r="N157" s="86"/>
      <c r="O157" s="86"/>
      <c r="P157" s="86"/>
      <c r="Q157" s="86"/>
      <c r="R157" s="86"/>
      <c r="S157" s="86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78"/>
      <c r="AE157" s="78"/>
      <c r="AF157" s="78"/>
      <c r="AG157" s="88"/>
      <c r="AH157" s="78"/>
      <c r="AI157" s="78"/>
      <c r="AJ157" s="95" t="str">
        <f>IF(P157="","",IFERROR(ROUND(IF(OR(P157="G0B",P157="G0T"),Tabelle5[[#This Row],[AI]]/SUM(LER_01!$L$26:$L$27),Tabelle5[[#This Row],[AI]]/(SUM(LER_01!$K$26:$K$27)+IF(LER_01!$D$10&gt;=4,SUM(LER_01!$M$26:$M$27)))),3),""))</f>
        <v/>
      </c>
      <c r="AK157" s="91" t="str">
        <f>IF(P157="","",IF(OR(P157="SOV",P157="SOB",P157="G0T",P157="G0B"),"",IF(AND(OR(P157="BSS",P157="BFS"),LER_01!$D$10&lt;=2),15%,IF(AND(OR(P157="BSN",P157="BFN"),LER_01!$D$10&gt;=4),100%,25%))))</f>
        <v/>
      </c>
      <c r="AL157" s="77"/>
      <c r="AM157" s="78"/>
      <c r="AN157" s="78"/>
      <c r="AO157" s="79"/>
      <c r="AP157" s="94"/>
      <c r="AQ157" s="31"/>
      <c r="AR157" s="20"/>
      <c r="AS157" s="32" t="str">
        <f t="shared" si="24"/>
        <v/>
      </c>
      <c r="AT157" s="32" t="str">
        <f t="shared" si="25"/>
        <v/>
      </c>
      <c r="AU157" s="32" t="str">
        <f t="shared" si="26"/>
        <v/>
      </c>
      <c r="AV157" s="32" t="str">
        <f t="shared" si="27"/>
        <v/>
      </c>
      <c r="AW157" s="32" t="str">
        <f t="shared" si="28"/>
        <v/>
      </c>
      <c r="AX157" s="32" t="str">
        <f t="shared" si="29"/>
        <v/>
      </c>
      <c r="AY157" s="32" t="str">
        <f t="shared" si="30"/>
        <v/>
      </c>
      <c r="AZ157" s="32" t="str">
        <f t="shared" si="31"/>
        <v/>
      </c>
      <c r="BA157" s="32" t="str">
        <f t="shared" si="32"/>
        <v/>
      </c>
      <c r="BB157" s="32" t="str">
        <f t="shared" si="33"/>
        <v/>
      </c>
      <c r="BC157" s="32" t="str">
        <f>IF(ISBLANK(O157),"",IF(ISBLANK(AO157),"",IF(AO157&gt;='Delivery Note'!$H$5,IF(AO157&lt;='Delivery Note'!$H$5+92,"","ERROR"),"ERROR")))</f>
        <v/>
      </c>
      <c r="BD157" s="32" t="str">
        <f t="shared" si="34"/>
        <v/>
      </c>
      <c r="BE157" s="32" t="str">
        <f t="shared" si="35"/>
        <v/>
      </c>
    </row>
    <row r="158" spans="2:57" x14ac:dyDescent="0.2">
      <c r="B158" s="20"/>
      <c r="C158" s="53"/>
      <c r="E158" s="31">
        <v>158</v>
      </c>
      <c r="F158" s="47"/>
      <c r="G158" s="47"/>
      <c r="H158" s="47"/>
      <c r="I158" s="47"/>
      <c r="J158" s="76"/>
      <c r="K158" s="93"/>
      <c r="L158" s="86"/>
      <c r="M158" s="86"/>
      <c r="N158" s="86"/>
      <c r="O158" s="86"/>
      <c r="P158" s="86"/>
      <c r="Q158" s="86"/>
      <c r="R158" s="86"/>
      <c r="S158" s="86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78"/>
      <c r="AE158" s="78"/>
      <c r="AF158" s="78"/>
      <c r="AG158" s="88"/>
      <c r="AH158" s="78"/>
      <c r="AI158" s="78"/>
      <c r="AJ158" s="95" t="str">
        <f>IF(P158="","",IFERROR(ROUND(IF(OR(P158="G0B",P158="G0T"),Tabelle5[[#This Row],[AI]]/SUM(LER_01!$L$26:$L$27),Tabelle5[[#This Row],[AI]]/(SUM(LER_01!$K$26:$K$27)+IF(LER_01!$D$10&gt;=4,SUM(LER_01!$M$26:$M$27)))),3),""))</f>
        <v/>
      </c>
      <c r="AK158" s="91" t="str">
        <f>IF(P158="","",IF(OR(P158="SOV",P158="SOB",P158="G0T",P158="G0B"),"",IF(AND(OR(P158="BSS",P158="BFS"),LER_01!$D$10&lt;=2),15%,IF(AND(OR(P158="BSN",P158="BFN"),LER_01!$D$10&gt;=4),100%,25%))))</f>
        <v/>
      </c>
      <c r="AL158" s="77"/>
      <c r="AM158" s="78"/>
      <c r="AN158" s="78"/>
      <c r="AO158" s="79"/>
      <c r="AP158" s="94"/>
      <c r="AQ158" s="31"/>
      <c r="AR158" s="20"/>
      <c r="AS158" s="32" t="str">
        <f t="shared" si="24"/>
        <v/>
      </c>
      <c r="AT158" s="32" t="str">
        <f t="shared" si="25"/>
        <v/>
      </c>
      <c r="AU158" s="32" t="str">
        <f t="shared" si="26"/>
        <v/>
      </c>
      <c r="AV158" s="32" t="str">
        <f t="shared" si="27"/>
        <v/>
      </c>
      <c r="AW158" s="32" t="str">
        <f t="shared" si="28"/>
        <v/>
      </c>
      <c r="AX158" s="32" t="str">
        <f t="shared" si="29"/>
        <v/>
      </c>
      <c r="AY158" s="32" t="str">
        <f t="shared" si="30"/>
        <v/>
      </c>
      <c r="AZ158" s="32" t="str">
        <f t="shared" si="31"/>
        <v/>
      </c>
      <c r="BA158" s="32" t="str">
        <f t="shared" si="32"/>
        <v/>
      </c>
      <c r="BB158" s="32" t="str">
        <f t="shared" si="33"/>
        <v/>
      </c>
      <c r="BC158" s="32" t="str">
        <f>IF(ISBLANK(O158),"",IF(ISBLANK(AO158),"",IF(AO158&gt;='Delivery Note'!$H$5,IF(AO158&lt;='Delivery Note'!$H$5+92,"","ERROR"),"ERROR")))</f>
        <v/>
      </c>
      <c r="BD158" s="32" t="str">
        <f t="shared" si="34"/>
        <v/>
      </c>
      <c r="BE158" s="32" t="str">
        <f t="shared" si="35"/>
        <v/>
      </c>
    </row>
    <row r="159" spans="2:57" x14ac:dyDescent="0.2">
      <c r="B159" s="20"/>
      <c r="C159" s="53"/>
      <c r="E159" s="31">
        <v>159</v>
      </c>
      <c r="F159" s="47"/>
      <c r="G159" s="47"/>
      <c r="H159" s="47"/>
      <c r="I159" s="47"/>
      <c r="J159" s="76"/>
      <c r="K159" s="93"/>
      <c r="L159" s="86"/>
      <c r="M159" s="86"/>
      <c r="N159" s="86"/>
      <c r="O159" s="86"/>
      <c r="P159" s="86"/>
      <c r="Q159" s="86"/>
      <c r="R159" s="86"/>
      <c r="S159" s="86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78"/>
      <c r="AE159" s="78"/>
      <c r="AF159" s="78"/>
      <c r="AG159" s="88"/>
      <c r="AH159" s="78"/>
      <c r="AI159" s="78"/>
      <c r="AJ159" s="95" t="str">
        <f>IF(P159="","",IFERROR(ROUND(IF(OR(P159="G0B",P159="G0T"),Tabelle5[[#This Row],[AI]]/SUM(LER_01!$L$26:$L$27),Tabelle5[[#This Row],[AI]]/(SUM(LER_01!$K$26:$K$27)+IF(LER_01!$D$10&gt;=4,SUM(LER_01!$M$26:$M$27)))),3),""))</f>
        <v/>
      </c>
      <c r="AK159" s="91" t="str">
        <f>IF(P159="","",IF(OR(P159="SOV",P159="SOB",P159="G0T",P159="G0B"),"",IF(AND(OR(P159="BSS",P159="BFS"),LER_01!$D$10&lt;=2),15%,IF(AND(OR(P159="BSN",P159="BFN"),LER_01!$D$10&gt;=4),100%,25%))))</f>
        <v/>
      </c>
      <c r="AL159" s="77"/>
      <c r="AM159" s="78"/>
      <c r="AN159" s="78"/>
      <c r="AO159" s="79"/>
      <c r="AP159" s="94"/>
      <c r="AQ159" s="31"/>
      <c r="AR159" s="20"/>
      <c r="AS159" s="32" t="str">
        <f t="shared" si="24"/>
        <v/>
      </c>
      <c r="AT159" s="32" t="str">
        <f t="shared" si="25"/>
        <v/>
      </c>
      <c r="AU159" s="32" t="str">
        <f t="shared" si="26"/>
        <v/>
      </c>
      <c r="AV159" s="32" t="str">
        <f t="shared" si="27"/>
        <v/>
      </c>
      <c r="AW159" s="32" t="str">
        <f t="shared" si="28"/>
        <v/>
      </c>
      <c r="AX159" s="32" t="str">
        <f t="shared" si="29"/>
        <v/>
      </c>
      <c r="AY159" s="32" t="str">
        <f t="shared" si="30"/>
        <v/>
      </c>
      <c r="AZ159" s="32" t="str">
        <f t="shared" si="31"/>
        <v/>
      </c>
      <c r="BA159" s="32" t="str">
        <f t="shared" si="32"/>
        <v/>
      </c>
      <c r="BB159" s="32" t="str">
        <f t="shared" si="33"/>
        <v/>
      </c>
      <c r="BC159" s="32" t="str">
        <f>IF(ISBLANK(O159),"",IF(ISBLANK(AO159),"",IF(AO159&gt;='Delivery Note'!$H$5,IF(AO159&lt;='Delivery Note'!$H$5+92,"","ERROR"),"ERROR")))</f>
        <v/>
      </c>
      <c r="BD159" s="32" t="str">
        <f t="shared" si="34"/>
        <v/>
      </c>
      <c r="BE159" s="32" t="str">
        <f t="shared" si="35"/>
        <v/>
      </c>
    </row>
    <row r="160" spans="2:57" x14ac:dyDescent="0.2">
      <c r="B160" s="20"/>
      <c r="C160" s="53"/>
      <c r="E160" s="31">
        <v>160</v>
      </c>
      <c r="F160" s="47"/>
      <c r="G160" s="47"/>
      <c r="H160" s="47"/>
      <c r="I160" s="47"/>
      <c r="J160" s="76"/>
      <c r="K160" s="93"/>
      <c r="L160" s="86"/>
      <c r="M160" s="86"/>
      <c r="N160" s="86"/>
      <c r="O160" s="86"/>
      <c r="P160" s="86"/>
      <c r="Q160" s="86"/>
      <c r="R160" s="86"/>
      <c r="S160" s="86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78"/>
      <c r="AE160" s="78"/>
      <c r="AF160" s="78"/>
      <c r="AG160" s="88"/>
      <c r="AH160" s="78"/>
      <c r="AI160" s="78"/>
      <c r="AJ160" s="95" t="str">
        <f>IF(P160="","",IFERROR(ROUND(IF(OR(P160="G0B",P160="G0T"),Tabelle5[[#This Row],[AI]]/SUM(LER_01!$L$26:$L$27),Tabelle5[[#This Row],[AI]]/(SUM(LER_01!$K$26:$K$27)+IF(LER_01!$D$10&gt;=4,SUM(LER_01!$M$26:$M$27)))),3),""))</f>
        <v/>
      </c>
      <c r="AK160" s="91" t="str">
        <f>IF(P160="","",IF(OR(P160="SOV",P160="SOB",P160="G0T",P160="G0B"),"",IF(AND(OR(P160="BSS",P160="BFS"),LER_01!$D$10&lt;=2),15%,IF(AND(OR(P160="BSN",P160="BFN"),LER_01!$D$10&gt;=4),100%,25%))))</f>
        <v/>
      </c>
      <c r="AL160" s="77"/>
      <c r="AM160" s="78"/>
      <c r="AN160" s="78"/>
      <c r="AO160" s="79"/>
      <c r="AP160" s="94"/>
      <c r="AQ160" s="31"/>
      <c r="AR160" s="20"/>
      <c r="AS160" s="32" t="str">
        <f t="shared" si="24"/>
        <v/>
      </c>
      <c r="AT160" s="32" t="str">
        <f t="shared" si="25"/>
        <v/>
      </c>
      <c r="AU160" s="32" t="str">
        <f t="shared" si="26"/>
        <v/>
      </c>
      <c r="AV160" s="32" t="str">
        <f t="shared" si="27"/>
        <v/>
      </c>
      <c r="AW160" s="32" t="str">
        <f t="shared" si="28"/>
        <v/>
      </c>
      <c r="AX160" s="32" t="str">
        <f t="shared" si="29"/>
        <v/>
      </c>
      <c r="AY160" s="32" t="str">
        <f t="shared" si="30"/>
        <v/>
      </c>
      <c r="AZ160" s="32" t="str">
        <f t="shared" si="31"/>
        <v/>
      </c>
      <c r="BA160" s="32" t="str">
        <f t="shared" si="32"/>
        <v/>
      </c>
      <c r="BB160" s="32" t="str">
        <f t="shared" si="33"/>
        <v/>
      </c>
      <c r="BC160" s="32" t="str">
        <f>IF(ISBLANK(O160),"",IF(ISBLANK(AO160),"",IF(AO160&gt;='Delivery Note'!$H$5,IF(AO160&lt;='Delivery Note'!$H$5+92,"","ERROR"),"ERROR")))</f>
        <v/>
      </c>
      <c r="BD160" s="32" t="str">
        <f t="shared" si="34"/>
        <v/>
      </c>
      <c r="BE160" s="32" t="str">
        <f t="shared" si="35"/>
        <v/>
      </c>
    </row>
    <row r="161" spans="2:57" x14ac:dyDescent="0.2">
      <c r="B161" s="20"/>
      <c r="C161" s="53"/>
      <c r="E161" s="31">
        <v>161</v>
      </c>
      <c r="F161" s="47"/>
      <c r="G161" s="47"/>
      <c r="H161" s="47"/>
      <c r="I161" s="47"/>
      <c r="J161" s="76"/>
      <c r="K161" s="93"/>
      <c r="L161" s="86"/>
      <c r="M161" s="86"/>
      <c r="N161" s="86"/>
      <c r="O161" s="86"/>
      <c r="P161" s="86"/>
      <c r="Q161" s="86"/>
      <c r="R161" s="86"/>
      <c r="S161" s="86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78"/>
      <c r="AE161" s="78"/>
      <c r="AF161" s="78"/>
      <c r="AG161" s="88"/>
      <c r="AH161" s="78"/>
      <c r="AI161" s="78"/>
      <c r="AJ161" s="95" t="str">
        <f>IF(P161="","",IFERROR(ROUND(IF(OR(P161="G0B",P161="G0T"),Tabelle5[[#This Row],[AI]]/SUM(LER_01!$L$26:$L$27),Tabelle5[[#This Row],[AI]]/(SUM(LER_01!$K$26:$K$27)+IF(LER_01!$D$10&gt;=4,SUM(LER_01!$M$26:$M$27)))),3),""))</f>
        <v/>
      </c>
      <c r="AK161" s="91" t="str">
        <f>IF(P161="","",IF(OR(P161="SOV",P161="SOB",P161="G0T",P161="G0B"),"",IF(AND(OR(P161="BSS",P161="BFS"),LER_01!$D$10&lt;=2),15%,IF(AND(OR(P161="BSN",P161="BFN"),LER_01!$D$10&gt;=4),100%,25%))))</f>
        <v/>
      </c>
      <c r="AL161" s="77"/>
      <c r="AM161" s="78"/>
      <c r="AN161" s="78"/>
      <c r="AO161" s="79"/>
      <c r="AP161" s="94"/>
      <c r="AQ161" s="31"/>
      <c r="AR161" s="20"/>
      <c r="AS161" s="32" t="str">
        <f t="shared" si="24"/>
        <v/>
      </c>
      <c r="AT161" s="32" t="str">
        <f t="shared" si="25"/>
        <v/>
      </c>
      <c r="AU161" s="32" t="str">
        <f t="shared" si="26"/>
        <v/>
      </c>
      <c r="AV161" s="32" t="str">
        <f t="shared" si="27"/>
        <v/>
      </c>
      <c r="AW161" s="32" t="str">
        <f t="shared" si="28"/>
        <v/>
      </c>
      <c r="AX161" s="32" t="str">
        <f t="shared" si="29"/>
        <v/>
      </c>
      <c r="AY161" s="32" t="str">
        <f t="shared" si="30"/>
        <v/>
      </c>
      <c r="AZ161" s="32" t="str">
        <f t="shared" si="31"/>
        <v/>
      </c>
      <c r="BA161" s="32" t="str">
        <f t="shared" si="32"/>
        <v/>
      </c>
      <c r="BB161" s="32" t="str">
        <f t="shared" si="33"/>
        <v/>
      </c>
      <c r="BC161" s="32" t="str">
        <f>IF(ISBLANK(O161),"",IF(ISBLANK(AO161),"",IF(AO161&gt;='Delivery Note'!$H$5,IF(AO161&lt;='Delivery Note'!$H$5+92,"","ERROR"),"ERROR")))</f>
        <v/>
      </c>
      <c r="BD161" s="32" t="str">
        <f t="shared" si="34"/>
        <v/>
      </c>
      <c r="BE161" s="32" t="str">
        <f t="shared" si="35"/>
        <v/>
      </c>
    </row>
    <row r="162" spans="2:57" x14ac:dyDescent="0.2">
      <c r="B162" s="20"/>
      <c r="C162" s="53"/>
      <c r="E162" s="31">
        <v>162</v>
      </c>
      <c r="F162" s="47"/>
      <c r="G162" s="47"/>
      <c r="H162" s="47"/>
      <c r="I162" s="47"/>
      <c r="J162" s="76"/>
      <c r="K162" s="93"/>
      <c r="L162" s="86"/>
      <c r="M162" s="86"/>
      <c r="N162" s="86"/>
      <c r="O162" s="86"/>
      <c r="P162" s="86"/>
      <c r="Q162" s="86"/>
      <c r="R162" s="86"/>
      <c r="S162" s="86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78"/>
      <c r="AE162" s="78"/>
      <c r="AF162" s="78"/>
      <c r="AG162" s="88"/>
      <c r="AH162" s="78"/>
      <c r="AI162" s="78"/>
      <c r="AJ162" s="95" t="str">
        <f>IF(P162="","",IFERROR(ROUND(IF(OR(P162="G0B",P162="G0T"),Tabelle5[[#This Row],[AI]]/SUM(LER_01!$L$26:$L$27),Tabelle5[[#This Row],[AI]]/(SUM(LER_01!$K$26:$K$27)+IF(LER_01!$D$10&gt;=4,SUM(LER_01!$M$26:$M$27)))),3),""))</f>
        <v/>
      </c>
      <c r="AK162" s="91" t="str">
        <f>IF(P162="","",IF(OR(P162="SOV",P162="SOB",P162="G0T",P162="G0B"),"",IF(AND(OR(P162="BSS",P162="BFS"),LER_01!$D$10&lt;=2),15%,IF(AND(OR(P162="BSN",P162="BFN"),LER_01!$D$10&gt;=4),100%,25%))))</f>
        <v/>
      </c>
      <c r="AL162" s="77"/>
      <c r="AM162" s="78"/>
      <c r="AN162" s="78"/>
      <c r="AO162" s="79"/>
      <c r="AP162" s="94"/>
      <c r="AQ162" s="31"/>
      <c r="AR162" s="20"/>
      <c r="AS162" s="32" t="str">
        <f t="shared" si="24"/>
        <v/>
      </c>
      <c r="AT162" s="32" t="str">
        <f t="shared" si="25"/>
        <v/>
      </c>
      <c r="AU162" s="32" t="str">
        <f t="shared" si="26"/>
        <v/>
      </c>
      <c r="AV162" s="32" t="str">
        <f t="shared" si="27"/>
        <v/>
      </c>
      <c r="AW162" s="32" t="str">
        <f t="shared" si="28"/>
        <v/>
      </c>
      <c r="AX162" s="32" t="str">
        <f t="shared" si="29"/>
        <v/>
      </c>
      <c r="AY162" s="32" t="str">
        <f t="shared" si="30"/>
        <v/>
      </c>
      <c r="AZ162" s="32" t="str">
        <f t="shared" si="31"/>
        <v/>
      </c>
      <c r="BA162" s="32" t="str">
        <f t="shared" si="32"/>
        <v/>
      </c>
      <c r="BB162" s="32" t="str">
        <f t="shared" si="33"/>
        <v/>
      </c>
      <c r="BC162" s="32" t="str">
        <f>IF(ISBLANK(O162),"",IF(ISBLANK(AO162),"",IF(AO162&gt;='Delivery Note'!$H$5,IF(AO162&lt;='Delivery Note'!$H$5+92,"","ERROR"),"ERROR")))</f>
        <v/>
      </c>
      <c r="BD162" s="32" t="str">
        <f t="shared" si="34"/>
        <v/>
      </c>
      <c r="BE162" s="32" t="str">
        <f t="shared" si="35"/>
        <v/>
      </c>
    </row>
    <row r="163" spans="2:57" x14ac:dyDescent="0.2">
      <c r="B163" s="20"/>
      <c r="C163" s="53"/>
      <c r="E163" s="31">
        <v>163</v>
      </c>
      <c r="F163" s="47"/>
      <c r="G163" s="47"/>
      <c r="H163" s="47"/>
      <c r="I163" s="47"/>
      <c r="J163" s="76"/>
      <c r="K163" s="93"/>
      <c r="L163" s="86"/>
      <c r="M163" s="86"/>
      <c r="N163" s="86"/>
      <c r="O163" s="86"/>
      <c r="P163" s="86"/>
      <c r="Q163" s="86"/>
      <c r="R163" s="86"/>
      <c r="S163" s="86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78"/>
      <c r="AE163" s="78"/>
      <c r="AF163" s="78"/>
      <c r="AG163" s="88"/>
      <c r="AH163" s="78"/>
      <c r="AI163" s="78"/>
      <c r="AJ163" s="95" t="str">
        <f>IF(P163="","",IFERROR(ROUND(IF(OR(P163="G0B",P163="G0T"),Tabelle5[[#This Row],[AI]]/SUM(LER_01!$L$26:$L$27),Tabelle5[[#This Row],[AI]]/(SUM(LER_01!$K$26:$K$27)+IF(LER_01!$D$10&gt;=4,SUM(LER_01!$M$26:$M$27)))),3),""))</f>
        <v/>
      </c>
      <c r="AK163" s="91" t="str">
        <f>IF(P163="","",IF(OR(P163="SOV",P163="SOB",P163="G0T",P163="G0B"),"",IF(AND(OR(P163="BSS",P163="BFS"),LER_01!$D$10&lt;=2),15%,IF(AND(OR(P163="BSN",P163="BFN"),LER_01!$D$10&gt;=4),100%,25%))))</f>
        <v/>
      </c>
      <c r="AL163" s="77"/>
      <c r="AM163" s="78"/>
      <c r="AN163" s="78"/>
      <c r="AO163" s="79"/>
      <c r="AP163" s="94"/>
      <c r="AQ163" s="31"/>
      <c r="AR163" s="20"/>
      <c r="AS163" s="32" t="str">
        <f t="shared" si="24"/>
        <v/>
      </c>
      <c r="AT163" s="32" t="str">
        <f t="shared" si="25"/>
        <v/>
      </c>
      <c r="AU163" s="32" t="str">
        <f t="shared" si="26"/>
        <v/>
      </c>
      <c r="AV163" s="32" t="str">
        <f t="shared" si="27"/>
        <v/>
      </c>
      <c r="AW163" s="32" t="str">
        <f t="shared" si="28"/>
        <v/>
      </c>
      <c r="AX163" s="32" t="str">
        <f t="shared" si="29"/>
        <v/>
      </c>
      <c r="AY163" s="32" t="str">
        <f t="shared" si="30"/>
        <v/>
      </c>
      <c r="AZ163" s="32" t="str">
        <f t="shared" si="31"/>
        <v/>
      </c>
      <c r="BA163" s="32" t="str">
        <f t="shared" si="32"/>
        <v/>
      </c>
      <c r="BB163" s="32" t="str">
        <f t="shared" si="33"/>
        <v/>
      </c>
      <c r="BC163" s="32" t="str">
        <f>IF(ISBLANK(O163),"",IF(ISBLANK(AO163),"",IF(AO163&gt;='Delivery Note'!$H$5,IF(AO163&lt;='Delivery Note'!$H$5+92,"","ERROR"),"ERROR")))</f>
        <v/>
      </c>
      <c r="BD163" s="32" t="str">
        <f t="shared" si="34"/>
        <v/>
      </c>
      <c r="BE163" s="32" t="str">
        <f t="shared" si="35"/>
        <v/>
      </c>
    </row>
    <row r="164" spans="2:57" x14ac:dyDescent="0.2">
      <c r="B164" s="20"/>
      <c r="C164" s="53"/>
      <c r="E164" s="31">
        <v>164</v>
      </c>
      <c r="F164" s="47"/>
      <c r="G164" s="47"/>
      <c r="H164" s="47"/>
      <c r="I164" s="47"/>
      <c r="J164" s="76"/>
      <c r="K164" s="93"/>
      <c r="L164" s="86"/>
      <c r="M164" s="86"/>
      <c r="N164" s="86"/>
      <c r="O164" s="86"/>
      <c r="P164" s="86"/>
      <c r="Q164" s="86"/>
      <c r="R164" s="86"/>
      <c r="S164" s="86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78"/>
      <c r="AE164" s="78"/>
      <c r="AF164" s="78"/>
      <c r="AG164" s="88"/>
      <c r="AH164" s="78"/>
      <c r="AI164" s="78"/>
      <c r="AJ164" s="95" t="str">
        <f>IF(P164="","",IFERROR(ROUND(IF(OR(P164="G0B",P164="G0T"),Tabelle5[[#This Row],[AI]]/SUM(LER_01!$L$26:$L$27),Tabelle5[[#This Row],[AI]]/(SUM(LER_01!$K$26:$K$27)+IF(LER_01!$D$10&gt;=4,SUM(LER_01!$M$26:$M$27)))),3),""))</f>
        <v/>
      </c>
      <c r="AK164" s="91" t="str">
        <f>IF(P164="","",IF(OR(P164="SOV",P164="SOB",P164="G0T",P164="G0B"),"",IF(AND(OR(P164="BSS",P164="BFS"),LER_01!$D$10&lt;=2),15%,IF(AND(OR(P164="BSN",P164="BFN"),LER_01!$D$10&gt;=4),100%,25%))))</f>
        <v/>
      </c>
      <c r="AL164" s="77"/>
      <c r="AM164" s="78"/>
      <c r="AN164" s="78"/>
      <c r="AO164" s="79"/>
      <c r="AP164" s="94"/>
      <c r="AQ164" s="31"/>
      <c r="AR164" s="20"/>
      <c r="AS164" s="32" t="str">
        <f t="shared" si="24"/>
        <v/>
      </c>
      <c r="AT164" s="32" t="str">
        <f t="shared" si="25"/>
        <v/>
      </c>
      <c r="AU164" s="32" t="str">
        <f t="shared" si="26"/>
        <v/>
      </c>
      <c r="AV164" s="32" t="str">
        <f t="shared" si="27"/>
        <v/>
      </c>
      <c r="AW164" s="32" t="str">
        <f t="shared" si="28"/>
        <v/>
      </c>
      <c r="AX164" s="32" t="str">
        <f t="shared" si="29"/>
        <v/>
      </c>
      <c r="AY164" s="32" t="str">
        <f t="shared" si="30"/>
        <v/>
      </c>
      <c r="AZ164" s="32" t="str">
        <f t="shared" si="31"/>
        <v/>
      </c>
      <c r="BA164" s="32" t="str">
        <f t="shared" si="32"/>
        <v/>
      </c>
      <c r="BB164" s="32" t="str">
        <f t="shared" si="33"/>
        <v/>
      </c>
      <c r="BC164" s="32" t="str">
        <f>IF(ISBLANK(O164),"",IF(ISBLANK(AO164),"",IF(AO164&gt;='Delivery Note'!$H$5,IF(AO164&lt;='Delivery Note'!$H$5+92,"","ERROR"),"ERROR")))</f>
        <v/>
      </c>
      <c r="BD164" s="32" t="str">
        <f t="shared" si="34"/>
        <v/>
      </c>
      <c r="BE164" s="32" t="str">
        <f t="shared" si="35"/>
        <v/>
      </c>
    </row>
    <row r="165" spans="2:57" x14ac:dyDescent="0.2">
      <c r="B165" s="20"/>
      <c r="C165" s="53"/>
      <c r="E165" s="31">
        <v>165</v>
      </c>
      <c r="F165" s="47"/>
      <c r="G165" s="47"/>
      <c r="H165" s="47"/>
      <c r="I165" s="47"/>
      <c r="J165" s="76"/>
      <c r="K165" s="93"/>
      <c r="L165" s="86"/>
      <c r="M165" s="86"/>
      <c r="N165" s="86"/>
      <c r="O165" s="86"/>
      <c r="P165" s="86"/>
      <c r="Q165" s="86"/>
      <c r="R165" s="86"/>
      <c r="S165" s="86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78"/>
      <c r="AE165" s="78"/>
      <c r="AF165" s="78"/>
      <c r="AG165" s="88"/>
      <c r="AH165" s="78"/>
      <c r="AI165" s="78"/>
      <c r="AJ165" s="95" t="str">
        <f>IF(P165="","",IFERROR(ROUND(IF(OR(P165="G0B",P165="G0T"),Tabelle5[[#This Row],[AI]]/SUM(LER_01!$L$26:$L$27),Tabelle5[[#This Row],[AI]]/(SUM(LER_01!$K$26:$K$27)+IF(LER_01!$D$10&gt;=4,SUM(LER_01!$M$26:$M$27)))),3),""))</f>
        <v/>
      </c>
      <c r="AK165" s="91" t="str">
        <f>IF(P165="","",IF(OR(P165="SOV",P165="SOB",P165="G0T",P165="G0B"),"",IF(AND(OR(P165="BSS",P165="BFS"),LER_01!$D$10&lt;=2),15%,IF(AND(OR(P165="BSN",P165="BFN"),LER_01!$D$10&gt;=4),100%,25%))))</f>
        <v/>
      </c>
      <c r="AL165" s="77"/>
      <c r="AM165" s="78"/>
      <c r="AN165" s="78"/>
      <c r="AO165" s="79"/>
      <c r="AP165" s="94"/>
      <c r="AQ165" s="31"/>
      <c r="AR165" s="20"/>
      <c r="AS165" s="32" t="str">
        <f t="shared" si="24"/>
        <v/>
      </c>
      <c r="AT165" s="32" t="str">
        <f t="shared" si="25"/>
        <v/>
      </c>
      <c r="AU165" s="32" t="str">
        <f t="shared" si="26"/>
        <v/>
      </c>
      <c r="AV165" s="32" t="str">
        <f t="shared" si="27"/>
        <v/>
      </c>
      <c r="AW165" s="32" t="str">
        <f t="shared" si="28"/>
        <v/>
      </c>
      <c r="AX165" s="32" t="str">
        <f t="shared" si="29"/>
        <v/>
      </c>
      <c r="AY165" s="32" t="str">
        <f t="shared" si="30"/>
        <v/>
      </c>
      <c r="AZ165" s="32" t="str">
        <f t="shared" si="31"/>
        <v/>
      </c>
      <c r="BA165" s="32" t="str">
        <f t="shared" si="32"/>
        <v/>
      </c>
      <c r="BB165" s="32" t="str">
        <f t="shared" si="33"/>
        <v/>
      </c>
      <c r="BC165" s="32" t="str">
        <f>IF(ISBLANK(O165),"",IF(ISBLANK(AO165),"",IF(AO165&gt;='Delivery Note'!$H$5,IF(AO165&lt;='Delivery Note'!$H$5+92,"","ERROR"),"ERROR")))</f>
        <v/>
      </c>
      <c r="BD165" s="32" t="str">
        <f t="shared" si="34"/>
        <v/>
      </c>
      <c r="BE165" s="32" t="str">
        <f t="shared" si="35"/>
        <v/>
      </c>
    </row>
    <row r="166" spans="2:57" x14ac:dyDescent="0.2">
      <c r="B166" s="20"/>
      <c r="C166" s="53"/>
      <c r="E166" s="31">
        <v>166</v>
      </c>
      <c r="F166" s="47"/>
      <c r="G166" s="47"/>
      <c r="H166" s="47"/>
      <c r="I166" s="47"/>
      <c r="J166" s="76"/>
      <c r="K166" s="93"/>
      <c r="L166" s="86"/>
      <c r="M166" s="86"/>
      <c r="N166" s="86"/>
      <c r="O166" s="86"/>
      <c r="P166" s="86"/>
      <c r="Q166" s="86"/>
      <c r="R166" s="86"/>
      <c r="S166" s="86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78"/>
      <c r="AE166" s="78"/>
      <c r="AF166" s="78"/>
      <c r="AG166" s="88"/>
      <c r="AH166" s="78"/>
      <c r="AI166" s="78"/>
      <c r="AJ166" s="95" t="str">
        <f>IF(P166="","",IFERROR(ROUND(IF(OR(P166="G0B",P166="G0T"),Tabelle5[[#This Row],[AI]]/SUM(LER_01!$L$26:$L$27),Tabelle5[[#This Row],[AI]]/(SUM(LER_01!$K$26:$K$27)+IF(LER_01!$D$10&gt;=4,SUM(LER_01!$M$26:$M$27)))),3),""))</f>
        <v/>
      </c>
      <c r="AK166" s="91" t="str">
        <f>IF(P166="","",IF(OR(P166="SOV",P166="SOB",P166="G0T",P166="G0B"),"",IF(AND(OR(P166="BSS",P166="BFS"),LER_01!$D$10&lt;=2),15%,IF(AND(OR(P166="BSN",P166="BFN"),LER_01!$D$10&gt;=4),100%,25%))))</f>
        <v/>
      </c>
      <c r="AL166" s="77"/>
      <c r="AM166" s="78"/>
      <c r="AN166" s="78"/>
      <c r="AO166" s="79"/>
      <c r="AP166" s="94"/>
      <c r="AQ166" s="31"/>
      <c r="AR166" s="20"/>
      <c r="AS166" s="32" t="str">
        <f t="shared" si="24"/>
        <v/>
      </c>
      <c r="AT166" s="32" t="str">
        <f t="shared" si="25"/>
        <v/>
      </c>
      <c r="AU166" s="32" t="str">
        <f t="shared" si="26"/>
        <v/>
      </c>
      <c r="AV166" s="32" t="str">
        <f t="shared" si="27"/>
        <v/>
      </c>
      <c r="AW166" s="32" t="str">
        <f t="shared" si="28"/>
        <v/>
      </c>
      <c r="AX166" s="32" t="str">
        <f t="shared" si="29"/>
        <v/>
      </c>
      <c r="AY166" s="32" t="str">
        <f t="shared" si="30"/>
        <v/>
      </c>
      <c r="AZ166" s="32" t="str">
        <f t="shared" si="31"/>
        <v/>
      </c>
      <c r="BA166" s="32" t="str">
        <f t="shared" si="32"/>
        <v/>
      </c>
      <c r="BB166" s="32" t="str">
        <f t="shared" si="33"/>
        <v/>
      </c>
      <c r="BC166" s="32" t="str">
        <f>IF(ISBLANK(O166),"",IF(ISBLANK(AO166),"",IF(AO166&gt;='Delivery Note'!$H$5,IF(AO166&lt;='Delivery Note'!$H$5+92,"","ERROR"),"ERROR")))</f>
        <v/>
      </c>
      <c r="BD166" s="32" t="str">
        <f t="shared" si="34"/>
        <v/>
      </c>
      <c r="BE166" s="32" t="str">
        <f t="shared" si="35"/>
        <v/>
      </c>
    </row>
    <row r="167" spans="2:57" x14ac:dyDescent="0.2">
      <c r="B167" s="20"/>
      <c r="C167" s="53"/>
      <c r="E167" s="31">
        <v>167</v>
      </c>
      <c r="F167" s="47"/>
      <c r="G167" s="47"/>
      <c r="H167" s="47"/>
      <c r="I167" s="47"/>
      <c r="J167" s="76"/>
      <c r="K167" s="93"/>
      <c r="L167" s="86"/>
      <c r="M167" s="86"/>
      <c r="N167" s="86"/>
      <c r="O167" s="86"/>
      <c r="P167" s="86"/>
      <c r="Q167" s="86"/>
      <c r="R167" s="86"/>
      <c r="S167" s="86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78"/>
      <c r="AE167" s="78"/>
      <c r="AF167" s="78"/>
      <c r="AG167" s="88"/>
      <c r="AH167" s="78"/>
      <c r="AI167" s="78"/>
      <c r="AJ167" s="95" t="str">
        <f>IF(P167="","",IFERROR(ROUND(IF(OR(P167="G0B",P167="G0T"),Tabelle5[[#This Row],[AI]]/SUM(LER_01!$L$26:$L$27),Tabelle5[[#This Row],[AI]]/(SUM(LER_01!$K$26:$K$27)+IF(LER_01!$D$10&gt;=4,SUM(LER_01!$M$26:$M$27)))),3),""))</f>
        <v/>
      </c>
      <c r="AK167" s="91" t="str">
        <f>IF(P167="","",IF(OR(P167="SOV",P167="SOB",P167="G0T",P167="G0B"),"",IF(AND(OR(P167="BSS",P167="BFS"),LER_01!$D$10&lt;=2),15%,IF(AND(OR(P167="BSN",P167="BFN"),LER_01!$D$10&gt;=4),100%,25%))))</f>
        <v/>
      </c>
      <c r="AL167" s="77"/>
      <c r="AM167" s="78"/>
      <c r="AN167" s="78"/>
      <c r="AO167" s="79"/>
      <c r="AP167" s="94"/>
      <c r="AQ167" s="31"/>
      <c r="AR167" s="20"/>
      <c r="AS167" s="32" t="str">
        <f t="shared" si="24"/>
        <v/>
      </c>
      <c r="AT167" s="32" t="str">
        <f t="shared" si="25"/>
        <v/>
      </c>
      <c r="AU167" s="32" t="str">
        <f t="shared" si="26"/>
        <v/>
      </c>
      <c r="AV167" s="32" t="str">
        <f t="shared" si="27"/>
        <v/>
      </c>
      <c r="AW167" s="32" t="str">
        <f t="shared" si="28"/>
        <v/>
      </c>
      <c r="AX167" s="32" t="str">
        <f t="shared" si="29"/>
        <v/>
      </c>
      <c r="AY167" s="32" t="str">
        <f t="shared" si="30"/>
        <v/>
      </c>
      <c r="AZ167" s="32" t="str">
        <f t="shared" si="31"/>
        <v/>
      </c>
      <c r="BA167" s="32" t="str">
        <f t="shared" si="32"/>
        <v/>
      </c>
      <c r="BB167" s="32" t="str">
        <f t="shared" si="33"/>
        <v/>
      </c>
      <c r="BC167" s="32" t="str">
        <f>IF(ISBLANK(O167),"",IF(ISBLANK(AO167),"",IF(AO167&gt;='Delivery Note'!$H$5,IF(AO167&lt;='Delivery Note'!$H$5+92,"","ERROR"),"ERROR")))</f>
        <v/>
      </c>
      <c r="BD167" s="32" t="str">
        <f t="shared" si="34"/>
        <v/>
      </c>
      <c r="BE167" s="32" t="str">
        <f t="shared" si="35"/>
        <v/>
      </c>
    </row>
    <row r="168" spans="2:57" x14ac:dyDescent="0.2">
      <c r="B168" s="20"/>
      <c r="C168" s="53"/>
      <c r="E168" s="31">
        <v>168</v>
      </c>
      <c r="F168" s="47"/>
      <c r="G168" s="47"/>
      <c r="H168" s="47"/>
      <c r="I168" s="47"/>
      <c r="J168" s="76"/>
      <c r="K168" s="93"/>
      <c r="L168" s="86"/>
      <c r="M168" s="86"/>
      <c r="N168" s="86"/>
      <c r="O168" s="86"/>
      <c r="P168" s="86"/>
      <c r="Q168" s="86"/>
      <c r="R168" s="86"/>
      <c r="S168" s="86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78"/>
      <c r="AE168" s="78"/>
      <c r="AF168" s="78"/>
      <c r="AG168" s="88"/>
      <c r="AH168" s="78"/>
      <c r="AI168" s="78"/>
      <c r="AJ168" s="95" t="str">
        <f>IF(P168="","",IFERROR(ROUND(IF(OR(P168="G0B",P168="G0T"),Tabelle5[[#This Row],[AI]]/SUM(LER_01!$L$26:$L$27),Tabelle5[[#This Row],[AI]]/(SUM(LER_01!$K$26:$K$27)+IF(LER_01!$D$10&gt;=4,SUM(LER_01!$M$26:$M$27)))),3),""))</f>
        <v/>
      </c>
      <c r="AK168" s="91" t="str">
        <f>IF(P168="","",IF(OR(P168="SOV",P168="SOB",P168="G0T",P168="G0B"),"",IF(AND(OR(P168="BSS",P168="BFS"),LER_01!$D$10&lt;=2),15%,IF(AND(OR(P168="BSN",P168="BFN"),LER_01!$D$10&gt;=4),100%,25%))))</f>
        <v/>
      </c>
      <c r="AL168" s="77"/>
      <c r="AM168" s="78"/>
      <c r="AN168" s="78"/>
      <c r="AO168" s="79"/>
      <c r="AP168" s="94"/>
      <c r="AQ168" s="31"/>
      <c r="AR168" s="20"/>
      <c r="AS168" s="32" t="str">
        <f t="shared" si="24"/>
        <v/>
      </c>
      <c r="AT168" s="32" t="str">
        <f t="shared" si="25"/>
        <v/>
      </c>
      <c r="AU168" s="32" t="str">
        <f t="shared" si="26"/>
        <v/>
      </c>
      <c r="AV168" s="32" t="str">
        <f t="shared" si="27"/>
        <v/>
      </c>
      <c r="AW168" s="32" t="str">
        <f t="shared" si="28"/>
        <v/>
      </c>
      <c r="AX168" s="32" t="str">
        <f t="shared" si="29"/>
        <v/>
      </c>
      <c r="AY168" s="32" t="str">
        <f t="shared" si="30"/>
        <v/>
      </c>
      <c r="AZ168" s="32" t="str">
        <f t="shared" si="31"/>
        <v/>
      </c>
      <c r="BA168" s="32" t="str">
        <f t="shared" si="32"/>
        <v/>
      </c>
      <c r="BB168" s="32" t="str">
        <f t="shared" si="33"/>
        <v/>
      </c>
      <c r="BC168" s="32" t="str">
        <f>IF(ISBLANK(O168),"",IF(ISBLANK(AO168),"",IF(AO168&gt;='Delivery Note'!$H$5,IF(AO168&lt;='Delivery Note'!$H$5+92,"","ERROR"),"ERROR")))</f>
        <v/>
      </c>
      <c r="BD168" s="32" t="str">
        <f t="shared" si="34"/>
        <v/>
      </c>
      <c r="BE168" s="32" t="str">
        <f t="shared" si="35"/>
        <v/>
      </c>
    </row>
    <row r="169" spans="2:57" x14ac:dyDescent="0.2">
      <c r="B169" s="20"/>
      <c r="C169" s="53"/>
      <c r="E169" s="31">
        <v>169</v>
      </c>
      <c r="F169" s="47"/>
      <c r="G169" s="47"/>
      <c r="H169" s="47"/>
      <c r="I169" s="47"/>
      <c r="J169" s="76"/>
      <c r="K169" s="93"/>
      <c r="L169" s="86"/>
      <c r="M169" s="86"/>
      <c r="N169" s="86"/>
      <c r="O169" s="86"/>
      <c r="P169" s="86"/>
      <c r="Q169" s="86"/>
      <c r="R169" s="86"/>
      <c r="S169" s="86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78"/>
      <c r="AE169" s="78"/>
      <c r="AF169" s="78"/>
      <c r="AG169" s="88"/>
      <c r="AH169" s="78"/>
      <c r="AI169" s="78"/>
      <c r="AJ169" s="95" t="str">
        <f>IF(P169="","",IFERROR(ROUND(IF(OR(P169="G0B",P169="G0T"),Tabelle5[[#This Row],[AI]]/SUM(LER_01!$L$26:$L$27),Tabelle5[[#This Row],[AI]]/(SUM(LER_01!$K$26:$K$27)+IF(LER_01!$D$10&gt;=4,SUM(LER_01!$M$26:$M$27)))),3),""))</f>
        <v/>
      </c>
      <c r="AK169" s="91" t="str">
        <f>IF(P169="","",IF(OR(P169="SOV",P169="SOB",P169="G0T",P169="G0B"),"",IF(AND(OR(P169="BSS",P169="BFS"),LER_01!$D$10&lt;=2),15%,IF(AND(OR(P169="BSN",P169="BFN"),LER_01!$D$10&gt;=4),100%,25%))))</f>
        <v/>
      </c>
      <c r="AL169" s="77"/>
      <c r="AM169" s="78"/>
      <c r="AN169" s="78"/>
      <c r="AO169" s="79"/>
      <c r="AP169" s="94"/>
      <c r="AQ169" s="31"/>
      <c r="AR169" s="20"/>
      <c r="AS169" s="32" t="str">
        <f t="shared" si="24"/>
        <v/>
      </c>
      <c r="AT169" s="32" t="str">
        <f t="shared" si="25"/>
        <v/>
      </c>
      <c r="AU169" s="32" t="str">
        <f t="shared" si="26"/>
        <v/>
      </c>
      <c r="AV169" s="32" t="str">
        <f t="shared" si="27"/>
        <v/>
      </c>
      <c r="AW169" s="32" t="str">
        <f t="shared" si="28"/>
        <v/>
      </c>
      <c r="AX169" s="32" t="str">
        <f t="shared" si="29"/>
        <v/>
      </c>
      <c r="AY169" s="32" t="str">
        <f t="shared" si="30"/>
        <v/>
      </c>
      <c r="AZ169" s="32" t="str">
        <f t="shared" si="31"/>
        <v/>
      </c>
      <c r="BA169" s="32" t="str">
        <f t="shared" si="32"/>
        <v/>
      </c>
      <c r="BB169" s="32" t="str">
        <f t="shared" si="33"/>
        <v/>
      </c>
      <c r="BC169" s="32" t="str">
        <f>IF(ISBLANK(O169),"",IF(ISBLANK(AO169),"",IF(AO169&gt;='Delivery Note'!$H$5,IF(AO169&lt;='Delivery Note'!$H$5+92,"","ERROR"),"ERROR")))</f>
        <v/>
      </c>
      <c r="BD169" s="32" t="str">
        <f t="shared" si="34"/>
        <v/>
      </c>
      <c r="BE169" s="32" t="str">
        <f t="shared" si="35"/>
        <v/>
      </c>
    </row>
    <row r="170" spans="2:57" ht="3.6" customHeight="1" x14ac:dyDescent="0.2">
      <c r="B170" s="59"/>
      <c r="C170" s="59"/>
      <c r="D170" s="59"/>
      <c r="E170" s="59"/>
      <c r="F170" s="60"/>
      <c r="G170" s="60"/>
      <c r="H170" s="60"/>
      <c r="I170" s="60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80"/>
      <c r="AL170" s="59"/>
      <c r="AM170" s="59"/>
      <c r="AN170" s="59"/>
      <c r="AO170" s="59"/>
      <c r="AP170" s="81"/>
      <c r="AQ170" s="59"/>
      <c r="AR170" s="20"/>
    </row>
  </sheetData>
  <sheetProtection sheet="1" objects="1" scenarios="1"/>
  <mergeCells count="20">
    <mergeCell ref="AA16:AB16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Z16"/>
    <mergeCell ref="AL16:AL17"/>
    <mergeCell ref="AP16:AP17"/>
    <mergeCell ref="AC16:AC17"/>
    <mergeCell ref="AD16:AG16"/>
    <mergeCell ref="AH16:AH17"/>
    <mergeCell ref="AI16:AI17"/>
    <mergeCell ref="AJ16:AJ17"/>
    <mergeCell ref="AK16:AK17"/>
  </mergeCells>
  <phoneticPr fontId="17" type="noConversion"/>
  <dataValidations count="5">
    <dataValidation type="list" allowBlank="1" showInputMessage="1" showErrorMessage="1" sqref="L19:L169" xr:uid="{84BA780D-F3C2-4DBF-BCC3-2FC451A36FBE}">
      <formula1>Country</formula1>
    </dataValidation>
    <dataValidation type="list" allowBlank="1" showInputMessage="1" showErrorMessage="1" sqref="R19:R169" xr:uid="{F97171D7-17B9-4B62-9E74-DB81651B270F}">
      <formula1>NOGA_Codes</formula1>
    </dataValidation>
    <dataValidation type="list" allowBlank="1" showInputMessage="1" showErrorMessage="1" sqref="S19:S169" xr:uid="{5638A17B-5FD4-49D3-917B-2F673732B706}">
      <formula1>Ind_CP_GCP</formula1>
    </dataValidation>
    <dataValidation type="list" allowBlank="1" showInputMessage="1" showErrorMessage="1" sqref="P19:P169" xr:uid="{8CC1E767-6CDC-4A5D-B026-9EDA4F3D11AF}">
      <formula1>Counterparty_type</formula1>
    </dataValidation>
    <dataValidation type="list" allowBlank="1" showInputMessage="1" showErrorMessage="1" sqref="Q19:Q169" xr:uid="{00A9E4B0-D1FE-485D-917F-45D6111BEC02}">
      <formula1>"Yes,No"</formula1>
    </dataValidation>
  </dataValidations>
  <hyperlinks>
    <hyperlink ref="P16:P17" location="Values!B8:B32" display="Counterparty type" xr:uid="{4C555AEE-3A74-425A-A72A-727AA931AA5D}"/>
    <hyperlink ref="R16:R17" location="Values!B36:B123" display="Values!B36:B123" xr:uid="{3A827DE2-C3E8-4113-99B4-BD32D266F867}"/>
    <hyperlink ref="S16:S17" location="Values!F8:F12" display="Individual counterparty or group of connected counterparties" xr:uid="{AE436B73-AF9A-4CB6-B0EE-824F23EB616B}"/>
    <hyperlink ref="L16:L17" location="Values!B128:B388" display="Values!B128:B388" xr:uid="{135FCC07-CF9D-464D-9140-A88893987277}"/>
  </hyperlinks>
  <printOptions gridLines="1"/>
  <pageMargins left="0.7" right="0.7" top="0.78740157499999996" bottom="0.78740157499999996" header="0.3" footer="0.3"/>
  <pageSetup paperSize="9" orientation="portrait" verticalDpi="0" r:id="rId1"/>
  <headerFooter>
    <oddFooter>&amp;C_x000D_&amp;1#&amp;"Calibri"&amp;10&amp;K000000 Classification: EFG Confidential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0986-DAE5-4160-93B6-657950A09B8E}">
  <dimension ref="B5:G388"/>
  <sheetViews>
    <sheetView showGridLines="0" showRowColHeaders="0" workbookViewId="0"/>
  </sheetViews>
  <sheetFormatPr defaultColWidth="11.42578125" defaultRowHeight="12.75" x14ac:dyDescent="0.2"/>
  <sheetData>
    <row r="5" spans="2:7" x14ac:dyDescent="0.2">
      <c r="B5" s="24" t="s">
        <v>117</v>
      </c>
      <c r="F5" s="24" t="s">
        <v>120</v>
      </c>
    </row>
    <row r="8" spans="2:7" x14ac:dyDescent="0.2">
      <c r="B8" t="s">
        <v>145</v>
      </c>
      <c r="C8" t="s">
        <v>146</v>
      </c>
      <c r="F8" t="s">
        <v>147</v>
      </c>
      <c r="G8" t="s">
        <v>148</v>
      </c>
    </row>
    <row r="9" spans="2:7" x14ac:dyDescent="0.2">
      <c r="B9" t="s">
        <v>149</v>
      </c>
      <c r="C9" t="s">
        <v>150</v>
      </c>
      <c r="F9" t="s">
        <v>151</v>
      </c>
      <c r="G9" t="s">
        <v>152</v>
      </c>
    </row>
    <row r="10" spans="2:7" x14ac:dyDescent="0.2">
      <c r="B10" t="s">
        <v>153</v>
      </c>
      <c r="C10" t="s">
        <v>154</v>
      </c>
      <c r="F10" t="s">
        <v>155</v>
      </c>
      <c r="G10" t="s">
        <v>156</v>
      </c>
    </row>
    <row r="11" spans="2:7" x14ac:dyDescent="0.2">
      <c r="B11" t="s">
        <v>157</v>
      </c>
      <c r="C11" t="s">
        <v>158</v>
      </c>
      <c r="F11" t="s">
        <v>159</v>
      </c>
      <c r="G11" t="s">
        <v>160</v>
      </c>
    </row>
    <row r="12" spans="2:7" x14ac:dyDescent="0.2">
      <c r="B12" t="s">
        <v>161</v>
      </c>
      <c r="C12" t="s">
        <v>162</v>
      </c>
      <c r="F12" t="s">
        <v>163</v>
      </c>
      <c r="G12" t="s">
        <v>164</v>
      </c>
    </row>
    <row r="13" spans="2:7" x14ac:dyDescent="0.2">
      <c r="B13" t="s">
        <v>165</v>
      </c>
      <c r="C13" t="s">
        <v>166</v>
      </c>
    </row>
    <row r="14" spans="2:7" x14ac:dyDescent="0.2">
      <c r="B14" t="s">
        <v>167</v>
      </c>
      <c r="C14" t="s">
        <v>168</v>
      </c>
    </row>
    <row r="15" spans="2:7" x14ac:dyDescent="0.2">
      <c r="B15" t="s">
        <v>169</v>
      </c>
      <c r="C15" t="s">
        <v>170</v>
      </c>
    </row>
    <row r="16" spans="2:7" x14ac:dyDescent="0.2">
      <c r="B16" t="s">
        <v>171</v>
      </c>
      <c r="C16" t="s">
        <v>172</v>
      </c>
    </row>
    <row r="17" spans="2:3" x14ac:dyDescent="0.2">
      <c r="B17" t="s">
        <v>173</v>
      </c>
      <c r="C17" t="s">
        <v>174</v>
      </c>
    </row>
    <row r="18" spans="2:3" x14ac:dyDescent="0.2">
      <c r="B18" t="s">
        <v>175</v>
      </c>
      <c r="C18" t="s">
        <v>176</v>
      </c>
    </row>
    <row r="19" spans="2:3" x14ac:dyDescent="0.2">
      <c r="B19" t="s">
        <v>177</v>
      </c>
      <c r="C19" t="s">
        <v>178</v>
      </c>
    </row>
    <row r="20" spans="2:3" x14ac:dyDescent="0.2">
      <c r="B20" t="s">
        <v>179</v>
      </c>
      <c r="C20" t="s">
        <v>180</v>
      </c>
    </row>
    <row r="21" spans="2:3" x14ac:dyDescent="0.2">
      <c r="B21" t="s">
        <v>181</v>
      </c>
      <c r="C21" t="s">
        <v>182</v>
      </c>
    </row>
    <row r="22" spans="2:3" x14ac:dyDescent="0.2">
      <c r="B22" t="s">
        <v>183</v>
      </c>
      <c r="C22" t="s">
        <v>184</v>
      </c>
    </row>
    <row r="23" spans="2:3" x14ac:dyDescent="0.2">
      <c r="B23" t="s">
        <v>185</v>
      </c>
      <c r="C23" t="s">
        <v>186</v>
      </c>
    </row>
    <row r="24" spans="2:3" x14ac:dyDescent="0.2">
      <c r="B24" t="s">
        <v>187</v>
      </c>
      <c r="C24" t="s">
        <v>188</v>
      </c>
    </row>
    <row r="25" spans="2:3" x14ac:dyDescent="0.2">
      <c r="B25" t="s">
        <v>189</v>
      </c>
      <c r="C25" t="s">
        <v>190</v>
      </c>
    </row>
    <row r="26" spans="2:3" x14ac:dyDescent="0.2">
      <c r="B26" t="s">
        <v>191</v>
      </c>
      <c r="C26" t="s">
        <v>192</v>
      </c>
    </row>
    <row r="27" spans="2:3" x14ac:dyDescent="0.2">
      <c r="B27" t="s">
        <v>193</v>
      </c>
      <c r="C27" t="s">
        <v>194</v>
      </c>
    </row>
    <row r="28" spans="2:3" x14ac:dyDescent="0.2">
      <c r="B28" t="s">
        <v>195</v>
      </c>
      <c r="C28" t="s">
        <v>196</v>
      </c>
    </row>
    <row r="29" spans="2:3" x14ac:dyDescent="0.2">
      <c r="B29" t="s">
        <v>197</v>
      </c>
      <c r="C29" t="s">
        <v>198</v>
      </c>
    </row>
    <row r="30" spans="2:3" x14ac:dyDescent="0.2">
      <c r="B30" t="s">
        <v>199</v>
      </c>
      <c r="C30" t="s">
        <v>200</v>
      </c>
    </row>
    <row r="31" spans="2:3" x14ac:dyDescent="0.2">
      <c r="B31" t="s">
        <v>201</v>
      </c>
      <c r="C31" t="s">
        <v>202</v>
      </c>
    </row>
    <row r="32" spans="2:3" x14ac:dyDescent="0.2">
      <c r="B32" t="s">
        <v>203</v>
      </c>
      <c r="C32" t="s">
        <v>204</v>
      </c>
    </row>
    <row r="35" spans="2:2" x14ac:dyDescent="0.2">
      <c r="B35" s="24" t="s">
        <v>205</v>
      </c>
    </row>
    <row r="36" spans="2:2" x14ac:dyDescent="0.2">
      <c r="B36" t="s">
        <v>206</v>
      </c>
    </row>
    <row r="37" spans="2:2" x14ac:dyDescent="0.2">
      <c r="B37" t="s">
        <v>207</v>
      </c>
    </row>
    <row r="38" spans="2:2" x14ac:dyDescent="0.2">
      <c r="B38" t="s">
        <v>208</v>
      </c>
    </row>
    <row r="39" spans="2:2" x14ac:dyDescent="0.2">
      <c r="B39" t="s">
        <v>209</v>
      </c>
    </row>
    <row r="40" spans="2:2" x14ac:dyDescent="0.2">
      <c r="B40" t="s">
        <v>210</v>
      </c>
    </row>
    <row r="41" spans="2:2" x14ac:dyDescent="0.2">
      <c r="B41" t="s">
        <v>211</v>
      </c>
    </row>
    <row r="42" spans="2:2" x14ac:dyDescent="0.2">
      <c r="B42" t="s">
        <v>212</v>
      </c>
    </row>
    <row r="43" spans="2:2" x14ac:dyDescent="0.2">
      <c r="B43" t="s">
        <v>213</v>
      </c>
    </row>
    <row r="44" spans="2:2" x14ac:dyDescent="0.2">
      <c r="B44" t="s">
        <v>214</v>
      </c>
    </row>
    <row r="45" spans="2:2" x14ac:dyDescent="0.2">
      <c r="B45" t="s">
        <v>215</v>
      </c>
    </row>
    <row r="46" spans="2:2" x14ac:dyDescent="0.2">
      <c r="B46" t="s">
        <v>216</v>
      </c>
    </row>
    <row r="47" spans="2:2" x14ac:dyDescent="0.2">
      <c r="B47" t="s">
        <v>217</v>
      </c>
    </row>
    <row r="48" spans="2:2" x14ac:dyDescent="0.2">
      <c r="B48" t="s">
        <v>218</v>
      </c>
    </row>
    <row r="49" spans="2:2" x14ac:dyDescent="0.2">
      <c r="B49" t="s">
        <v>219</v>
      </c>
    </row>
    <row r="50" spans="2:2" x14ac:dyDescent="0.2">
      <c r="B50" t="s">
        <v>220</v>
      </c>
    </row>
    <row r="51" spans="2:2" x14ac:dyDescent="0.2">
      <c r="B51" t="s">
        <v>221</v>
      </c>
    </row>
    <row r="52" spans="2:2" x14ac:dyDescent="0.2">
      <c r="B52" t="s">
        <v>222</v>
      </c>
    </row>
    <row r="53" spans="2:2" x14ac:dyDescent="0.2">
      <c r="B53" t="s">
        <v>223</v>
      </c>
    </row>
    <row r="54" spans="2:2" x14ac:dyDescent="0.2">
      <c r="B54" t="s">
        <v>224</v>
      </c>
    </row>
    <row r="55" spans="2:2" x14ac:dyDescent="0.2">
      <c r="B55" t="s">
        <v>225</v>
      </c>
    </row>
    <row r="56" spans="2:2" x14ac:dyDescent="0.2">
      <c r="B56" t="s">
        <v>226</v>
      </c>
    </row>
    <row r="57" spans="2:2" x14ac:dyDescent="0.2">
      <c r="B57" t="s">
        <v>227</v>
      </c>
    </row>
    <row r="58" spans="2:2" x14ac:dyDescent="0.2">
      <c r="B58" t="s">
        <v>228</v>
      </c>
    </row>
    <row r="59" spans="2:2" x14ac:dyDescent="0.2">
      <c r="B59" t="s">
        <v>229</v>
      </c>
    </row>
    <row r="60" spans="2:2" x14ac:dyDescent="0.2">
      <c r="B60" t="s">
        <v>230</v>
      </c>
    </row>
    <row r="61" spans="2:2" x14ac:dyDescent="0.2">
      <c r="B61" t="s">
        <v>231</v>
      </c>
    </row>
    <row r="62" spans="2:2" x14ac:dyDescent="0.2">
      <c r="B62" t="s">
        <v>232</v>
      </c>
    </row>
    <row r="63" spans="2:2" x14ac:dyDescent="0.2">
      <c r="B63" t="s">
        <v>233</v>
      </c>
    </row>
    <row r="64" spans="2:2" x14ac:dyDescent="0.2">
      <c r="B64" t="s">
        <v>234</v>
      </c>
    </row>
    <row r="65" spans="2:2" x14ac:dyDescent="0.2">
      <c r="B65" t="s">
        <v>235</v>
      </c>
    </row>
    <row r="66" spans="2:2" x14ac:dyDescent="0.2">
      <c r="B66" t="s">
        <v>236</v>
      </c>
    </row>
    <row r="67" spans="2:2" x14ac:dyDescent="0.2">
      <c r="B67" t="s">
        <v>237</v>
      </c>
    </row>
    <row r="68" spans="2:2" x14ac:dyDescent="0.2">
      <c r="B68" t="s">
        <v>238</v>
      </c>
    </row>
    <row r="69" spans="2:2" x14ac:dyDescent="0.2">
      <c r="B69" t="s">
        <v>239</v>
      </c>
    </row>
    <row r="70" spans="2:2" x14ac:dyDescent="0.2">
      <c r="B70" t="s">
        <v>240</v>
      </c>
    </row>
    <row r="71" spans="2:2" x14ac:dyDescent="0.2">
      <c r="B71" t="s">
        <v>241</v>
      </c>
    </row>
    <row r="72" spans="2:2" x14ac:dyDescent="0.2">
      <c r="B72" t="s">
        <v>242</v>
      </c>
    </row>
    <row r="73" spans="2:2" x14ac:dyDescent="0.2">
      <c r="B73" t="s">
        <v>243</v>
      </c>
    </row>
    <row r="74" spans="2:2" x14ac:dyDescent="0.2">
      <c r="B74" t="s">
        <v>244</v>
      </c>
    </row>
    <row r="75" spans="2:2" x14ac:dyDescent="0.2">
      <c r="B75" t="s">
        <v>245</v>
      </c>
    </row>
    <row r="76" spans="2:2" x14ac:dyDescent="0.2">
      <c r="B76" t="s">
        <v>246</v>
      </c>
    </row>
    <row r="77" spans="2:2" x14ac:dyDescent="0.2">
      <c r="B77" t="s">
        <v>247</v>
      </c>
    </row>
    <row r="78" spans="2:2" x14ac:dyDescent="0.2">
      <c r="B78" t="s">
        <v>248</v>
      </c>
    </row>
    <row r="79" spans="2:2" x14ac:dyDescent="0.2">
      <c r="B79" t="s">
        <v>249</v>
      </c>
    </row>
    <row r="80" spans="2:2" x14ac:dyDescent="0.2">
      <c r="B80" t="s">
        <v>250</v>
      </c>
    </row>
    <row r="81" spans="2:2" x14ac:dyDescent="0.2">
      <c r="B81" t="s">
        <v>251</v>
      </c>
    </row>
    <row r="82" spans="2:2" x14ac:dyDescent="0.2">
      <c r="B82" t="s">
        <v>252</v>
      </c>
    </row>
    <row r="83" spans="2:2" x14ac:dyDescent="0.2">
      <c r="B83" t="s">
        <v>253</v>
      </c>
    </row>
    <row r="84" spans="2:2" x14ac:dyDescent="0.2">
      <c r="B84" t="s">
        <v>254</v>
      </c>
    </row>
    <row r="85" spans="2:2" x14ac:dyDescent="0.2">
      <c r="B85" t="s">
        <v>255</v>
      </c>
    </row>
    <row r="86" spans="2:2" x14ac:dyDescent="0.2">
      <c r="B86" t="s">
        <v>256</v>
      </c>
    </row>
    <row r="87" spans="2:2" x14ac:dyDescent="0.2">
      <c r="B87" t="s">
        <v>257</v>
      </c>
    </row>
    <row r="88" spans="2:2" x14ac:dyDescent="0.2">
      <c r="B88" t="s">
        <v>258</v>
      </c>
    </row>
    <row r="89" spans="2:2" x14ac:dyDescent="0.2">
      <c r="B89" t="s">
        <v>259</v>
      </c>
    </row>
    <row r="90" spans="2:2" x14ac:dyDescent="0.2">
      <c r="B90" t="s">
        <v>260</v>
      </c>
    </row>
    <row r="91" spans="2:2" x14ac:dyDescent="0.2">
      <c r="B91" t="s">
        <v>261</v>
      </c>
    </row>
    <row r="92" spans="2:2" x14ac:dyDescent="0.2">
      <c r="B92" t="s">
        <v>262</v>
      </c>
    </row>
    <row r="93" spans="2:2" x14ac:dyDescent="0.2">
      <c r="B93" t="s">
        <v>263</v>
      </c>
    </row>
    <row r="94" spans="2:2" x14ac:dyDescent="0.2">
      <c r="B94" t="s">
        <v>264</v>
      </c>
    </row>
    <row r="95" spans="2:2" x14ac:dyDescent="0.2">
      <c r="B95" t="s">
        <v>265</v>
      </c>
    </row>
    <row r="96" spans="2:2" x14ac:dyDescent="0.2">
      <c r="B96" t="s">
        <v>266</v>
      </c>
    </row>
    <row r="97" spans="2:2" x14ac:dyDescent="0.2">
      <c r="B97" t="s">
        <v>267</v>
      </c>
    </row>
    <row r="98" spans="2:2" x14ac:dyDescent="0.2">
      <c r="B98" t="s">
        <v>268</v>
      </c>
    </row>
    <row r="99" spans="2:2" x14ac:dyDescent="0.2">
      <c r="B99" t="s">
        <v>269</v>
      </c>
    </row>
    <row r="100" spans="2:2" x14ac:dyDescent="0.2">
      <c r="B100" t="s">
        <v>270</v>
      </c>
    </row>
    <row r="101" spans="2:2" x14ac:dyDescent="0.2">
      <c r="B101" t="s">
        <v>271</v>
      </c>
    </row>
    <row r="102" spans="2:2" x14ac:dyDescent="0.2">
      <c r="B102" t="s">
        <v>272</v>
      </c>
    </row>
    <row r="103" spans="2:2" x14ac:dyDescent="0.2">
      <c r="B103" t="s">
        <v>273</v>
      </c>
    </row>
    <row r="104" spans="2:2" x14ac:dyDescent="0.2">
      <c r="B104" t="s">
        <v>274</v>
      </c>
    </row>
    <row r="105" spans="2:2" x14ac:dyDescent="0.2">
      <c r="B105" t="s">
        <v>275</v>
      </c>
    </row>
    <row r="106" spans="2:2" x14ac:dyDescent="0.2">
      <c r="B106" t="s">
        <v>276</v>
      </c>
    </row>
    <row r="107" spans="2:2" x14ac:dyDescent="0.2">
      <c r="B107" t="s">
        <v>277</v>
      </c>
    </row>
    <row r="108" spans="2:2" x14ac:dyDescent="0.2">
      <c r="B108" t="s">
        <v>278</v>
      </c>
    </row>
    <row r="109" spans="2:2" x14ac:dyDescent="0.2">
      <c r="B109" t="s">
        <v>279</v>
      </c>
    </row>
    <row r="110" spans="2:2" x14ac:dyDescent="0.2">
      <c r="B110" t="s">
        <v>280</v>
      </c>
    </row>
    <row r="111" spans="2:2" x14ac:dyDescent="0.2">
      <c r="B111" t="s">
        <v>281</v>
      </c>
    </row>
    <row r="112" spans="2:2" x14ac:dyDescent="0.2">
      <c r="B112" t="s">
        <v>282</v>
      </c>
    </row>
    <row r="113" spans="2:2" x14ac:dyDescent="0.2">
      <c r="B113" t="s">
        <v>283</v>
      </c>
    </row>
    <row r="114" spans="2:2" x14ac:dyDescent="0.2">
      <c r="B114" t="s">
        <v>284</v>
      </c>
    </row>
    <row r="115" spans="2:2" x14ac:dyDescent="0.2">
      <c r="B115" t="s">
        <v>285</v>
      </c>
    </row>
    <row r="116" spans="2:2" x14ac:dyDescent="0.2">
      <c r="B116" t="s">
        <v>286</v>
      </c>
    </row>
    <row r="117" spans="2:2" x14ac:dyDescent="0.2">
      <c r="B117" t="s">
        <v>287</v>
      </c>
    </row>
    <row r="118" spans="2:2" x14ac:dyDescent="0.2">
      <c r="B118" t="s">
        <v>288</v>
      </c>
    </row>
    <row r="119" spans="2:2" x14ac:dyDescent="0.2">
      <c r="B119" t="s">
        <v>289</v>
      </c>
    </row>
    <row r="120" spans="2:2" x14ac:dyDescent="0.2">
      <c r="B120" t="s">
        <v>290</v>
      </c>
    </row>
    <row r="121" spans="2:2" x14ac:dyDescent="0.2">
      <c r="B121" t="s">
        <v>291</v>
      </c>
    </row>
    <row r="122" spans="2:2" x14ac:dyDescent="0.2">
      <c r="B122" t="s">
        <v>292</v>
      </c>
    </row>
    <row r="123" spans="2:2" x14ac:dyDescent="0.2">
      <c r="B123" t="s">
        <v>293</v>
      </c>
    </row>
    <row r="127" spans="2:2" x14ac:dyDescent="0.2">
      <c r="B127" s="24" t="s">
        <v>294</v>
      </c>
    </row>
    <row r="128" spans="2:2" x14ac:dyDescent="0.2">
      <c r="B128" t="s">
        <v>295</v>
      </c>
    </row>
    <row r="129" spans="2:2" x14ac:dyDescent="0.2">
      <c r="B129" t="s">
        <v>296</v>
      </c>
    </row>
    <row r="130" spans="2:2" x14ac:dyDescent="0.2">
      <c r="B130" t="s">
        <v>297</v>
      </c>
    </row>
    <row r="131" spans="2:2" x14ac:dyDescent="0.2">
      <c r="B131" t="s">
        <v>298</v>
      </c>
    </row>
    <row r="132" spans="2:2" x14ac:dyDescent="0.2">
      <c r="B132" t="s">
        <v>299</v>
      </c>
    </row>
    <row r="133" spans="2:2" x14ac:dyDescent="0.2">
      <c r="B133" t="s">
        <v>300</v>
      </c>
    </row>
    <row r="134" spans="2:2" x14ac:dyDescent="0.2">
      <c r="B134" t="s">
        <v>301</v>
      </c>
    </row>
    <row r="135" spans="2:2" x14ac:dyDescent="0.2">
      <c r="B135" t="s">
        <v>302</v>
      </c>
    </row>
    <row r="136" spans="2:2" x14ac:dyDescent="0.2">
      <c r="B136" t="s">
        <v>303</v>
      </c>
    </row>
    <row r="137" spans="2:2" x14ac:dyDescent="0.2">
      <c r="B137" t="s">
        <v>304</v>
      </c>
    </row>
    <row r="138" spans="2:2" x14ac:dyDescent="0.2">
      <c r="B138" t="s">
        <v>305</v>
      </c>
    </row>
    <row r="139" spans="2:2" x14ac:dyDescent="0.2">
      <c r="B139" t="s">
        <v>306</v>
      </c>
    </row>
    <row r="140" spans="2:2" x14ac:dyDescent="0.2">
      <c r="B140" t="s">
        <v>307</v>
      </c>
    </row>
    <row r="141" spans="2:2" x14ac:dyDescent="0.2">
      <c r="B141" t="s">
        <v>308</v>
      </c>
    </row>
    <row r="142" spans="2:2" x14ac:dyDescent="0.2">
      <c r="B142" t="s">
        <v>309</v>
      </c>
    </row>
    <row r="143" spans="2:2" x14ac:dyDescent="0.2">
      <c r="B143" t="s">
        <v>310</v>
      </c>
    </row>
    <row r="144" spans="2:2" x14ac:dyDescent="0.2">
      <c r="B144" t="s">
        <v>311</v>
      </c>
    </row>
    <row r="145" spans="2:2" x14ac:dyDescent="0.2">
      <c r="B145" t="s">
        <v>312</v>
      </c>
    </row>
    <row r="146" spans="2:2" x14ac:dyDescent="0.2">
      <c r="B146" t="s">
        <v>313</v>
      </c>
    </row>
    <row r="147" spans="2:2" x14ac:dyDescent="0.2">
      <c r="B147" t="s">
        <v>314</v>
      </c>
    </row>
    <row r="148" spans="2:2" x14ac:dyDescent="0.2">
      <c r="B148" t="s">
        <v>315</v>
      </c>
    </row>
    <row r="149" spans="2:2" x14ac:dyDescent="0.2">
      <c r="B149" t="s">
        <v>316</v>
      </c>
    </row>
    <row r="150" spans="2:2" x14ac:dyDescent="0.2">
      <c r="B150" t="s">
        <v>317</v>
      </c>
    </row>
    <row r="151" spans="2:2" x14ac:dyDescent="0.2">
      <c r="B151" t="s">
        <v>318</v>
      </c>
    </row>
    <row r="152" spans="2:2" x14ac:dyDescent="0.2">
      <c r="B152" t="s">
        <v>319</v>
      </c>
    </row>
    <row r="153" spans="2:2" x14ac:dyDescent="0.2">
      <c r="B153" t="s">
        <v>320</v>
      </c>
    </row>
    <row r="154" spans="2:2" x14ac:dyDescent="0.2">
      <c r="B154" t="s">
        <v>321</v>
      </c>
    </row>
    <row r="155" spans="2:2" x14ac:dyDescent="0.2">
      <c r="B155" t="s">
        <v>322</v>
      </c>
    </row>
    <row r="156" spans="2:2" x14ac:dyDescent="0.2">
      <c r="B156" t="s">
        <v>323</v>
      </c>
    </row>
    <row r="157" spans="2:2" x14ac:dyDescent="0.2">
      <c r="B157" t="s">
        <v>324</v>
      </c>
    </row>
    <row r="158" spans="2:2" x14ac:dyDescent="0.2">
      <c r="B158" t="s">
        <v>325</v>
      </c>
    </row>
    <row r="159" spans="2:2" x14ac:dyDescent="0.2">
      <c r="B159" t="s">
        <v>326</v>
      </c>
    </row>
    <row r="160" spans="2:2" x14ac:dyDescent="0.2">
      <c r="B160" t="s">
        <v>327</v>
      </c>
    </row>
    <row r="161" spans="2:2" x14ac:dyDescent="0.2">
      <c r="B161" t="s">
        <v>328</v>
      </c>
    </row>
    <row r="162" spans="2:2" x14ac:dyDescent="0.2">
      <c r="B162" t="s">
        <v>329</v>
      </c>
    </row>
    <row r="163" spans="2:2" x14ac:dyDescent="0.2">
      <c r="B163" t="s">
        <v>330</v>
      </c>
    </row>
    <row r="164" spans="2:2" x14ac:dyDescent="0.2">
      <c r="B164" t="s">
        <v>331</v>
      </c>
    </row>
    <row r="165" spans="2:2" x14ac:dyDescent="0.2">
      <c r="B165" t="s">
        <v>332</v>
      </c>
    </row>
    <row r="166" spans="2:2" x14ac:dyDescent="0.2">
      <c r="B166" t="s">
        <v>333</v>
      </c>
    </row>
    <row r="167" spans="2:2" x14ac:dyDescent="0.2">
      <c r="B167" t="s">
        <v>334</v>
      </c>
    </row>
    <row r="168" spans="2:2" x14ac:dyDescent="0.2">
      <c r="B168" t="s">
        <v>335</v>
      </c>
    </row>
    <row r="169" spans="2:2" x14ac:dyDescent="0.2">
      <c r="B169" t="s">
        <v>336</v>
      </c>
    </row>
    <row r="170" spans="2:2" x14ac:dyDescent="0.2">
      <c r="B170" t="s">
        <v>157</v>
      </c>
    </row>
    <row r="171" spans="2:2" x14ac:dyDescent="0.2">
      <c r="B171" t="s">
        <v>337</v>
      </c>
    </row>
    <row r="172" spans="2:2" x14ac:dyDescent="0.2">
      <c r="B172" t="s">
        <v>338</v>
      </c>
    </row>
    <row r="173" spans="2:2" x14ac:dyDescent="0.2">
      <c r="B173" t="s">
        <v>339</v>
      </c>
    </row>
    <row r="174" spans="2:2" x14ac:dyDescent="0.2">
      <c r="B174" t="s">
        <v>340</v>
      </c>
    </row>
    <row r="175" spans="2:2" x14ac:dyDescent="0.2">
      <c r="B175" t="s">
        <v>341</v>
      </c>
    </row>
    <row r="176" spans="2:2" x14ac:dyDescent="0.2">
      <c r="B176" t="s">
        <v>342</v>
      </c>
    </row>
    <row r="177" spans="2:2" x14ac:dyDescent="0.2">
      <c r="B177" t="s">
        <v>343</v>
      </c>
    </row>
    <row r="178" spans="2:2" x14ac:dyDescent="0.2">
      <c r="B178" t="s">
        <v>344</v>
      </c>
    </row>
    <row r="179" spans="2:2" x14ac:dyDescent="0.2">
      <c r="B179" t="s">
        <v>345</v>
      </c>
    </row>
    <row r="180" spans="2:2" x14ac:dyDescent="0.2">
      <c r="B180" t="s">
        <v>346</v>
      </c>
    </row>
    <row r="181" spans="2:2" x14ac:dyDescent="0.2">
      <c r="B181" t="s">
        <v>347</v>
      </c>
    </row>
    <row r="182" spans="2:2" x14ac:dyDescent="0.2">
      <c r="B182" t="s">
        <v>348</v>
      </c>
    </row>
    <row r="183" spans="2:2" x14ac:dyDescent="0.2">
      <c r="B183" t="s">
        <v>349</v>
      </c>
    </row>
    <row r="184" spans="2:2" x14ac:dyDescent="0.2">
      <c r="B184" t="s">
        <v>350</v>
      </c>
    </row>
    <row r="185" spans="2:2" x14ac:dyDescent="0.2">
      <c r="B185" t="s">
        <v>351</v>
      </c>
    </row>
    <row r="186" spans="2:2" x14ac:dyDescent="0.2">
      <c r="B186" t="s">
        <v>352</v>
      </c>
    </row>
    <row r="187" spans="2:2" x14ac:dyDescent="0.2">
      <c r="B187" t="s">
        <v>353</v>
      </c>
    </row>
    <row r="188" spans="2:2" x14ac:dyDescent="0.2">
      <c r="B188" t="s">
        <v>354</v>
      </c>
    </row>
    <row r="189" spans="2:2" x14ac:dyDescent="0.2">
      <c r="B189" t="s">
        <v>355</v>
      </c>
    </row>
    <row r="190" spans="2:2" x14ac:dyDescent="0.2">
      <c r="B190" t="s">
        <v>356</v>
      </c>
    </row>
    <row r="191" spans="2:2" x14ac:dyDescent="0.2">
      <c r="B191" t="s">
        <v>357</v>
      </c>
    </row>
    <row r="192" spans="2:2" x14ac:dyDescent="0.2">
      <c r="B192" t="s">
        <v>358</v>
      </c>
    </row>
    <row r="193" spans="2:2" x14ac:dyDescent="0.2">
      <c r="B193" t="s">
        <v>359</v>
      </c>
    </row>
    <row r="194" spans="2:2" x14ac:dyDescent="0.2">
      <c r="B194" t="s">
        <v>360</v>
      </c>
    </row>
    <row r="195" spans="2:2" x14ac:dyDescent="0.2">
      <c r="B195" t="s">
        <v>361</v>
      </c>
    </row>
    <row r="196" spans="2:2" x14ac:dyDescent="0.2">
      <c r="B196" t="s">
        <v>362</v>
      </c>
    </row>
    <row r="197" spans="2:2" x14ac:dyDescent="0.2">
      <c r="B197" t="s">
        <v>363</v>
      </c>
    </row>
    <row r="198" spans="2:2" x14ac:dyDescent="0.2">
      <c r="B198" t="s">
        <v>364</v>
      </c>
    </row>
    <row r="199" spans="2:2" x14ac:dyDescent="0.2">
      <c r="B199" t="s">
        <v>365</v>
      </c>
    </row>
    <row r="200" spans="2:2" x14ac:dyDescent="0.2">
      <c r="B200" t="s">
        <v>366</v>
      </c>
    </row>
    <row r="201" spans="2:2" x14ac:dyDescent="0.2">
      <c r="B201" t="s">
        <v>367</v>
      </c>
    </row>
    <row r="202" spans="2:2" x14ac:dyDescent="0.2">
      <c r="B202" t="s">
        <v>368</v>
      </c>
    </row>
    <row r="203" spans="2:2" x14ac:dyDescent="0.2">
      <c r="B203" t="s">
        <v>369</v>
      </c>
    </row>
    <row r="204" spans="2:2" x14ac:dyDescent="0.2">
      <c r="B204" t="s">
        <v>370</v>
      </c>
    </row>
    <row r="205" spans="2:2" x14ac:dyDescent="0.2">
      <c r="B205" t="s">
        <v>371</v>
      </c>
    </row>
    <row r="206" spans="2:2" x14ac:dyDescent="0.2">
      <c r="B206" t="s">
        <v>372</v>
      </c>
    </row>
    <row r="207" spans="2:2" x14ac:dyDescent="0.2">
      <c r="B207" t="s">
        <v>373</v>
      </c>
    </row>
    <row r="208" spans="2:2" x14ac:dyDescent="0.2">
      <c r="B208" t="s">
        <v>374</v>
      </c>
    </row>
    <row r="209" spans="2:2" x14ac:dyDescent="0.2">
      <c r="B209" t="s">
        <v>375</v>
      </c>
    </row>
    <row r="210" spans="2:2" x14ac:dyDescent="0.2">
      <c r="B210" t="s">
        <v>376</v>
      </c>
    </row>
    <row r="211" spans="2:2" x14ac:dyDescent="0.2">
      <c r="B211" t="s">
        <v>377</v>
      </c>
    </row>
    <row r="212" spans="2:2" x14ac:dyDescent="0.2">
      <c r="B212" t="s">
        <v>378</v>
      </c>
    </row>
    <row r="213" spans="2:2" x14ac:dyDescent="0.2">
      <c r="B213" t="s">
        <v>379</v>
      </c>
    </row>
    <row r="214" spans="2:2" x14ac:dyDescent="0.2">
      <c r="B214" t="s">
        <v>380</v>
      </c>
    </row>
    <row r="215" spans="2:2" x14ac:dyDescent="0.2">
      <c r="B215" t="s">
        <v>381</v>
      </c>
    </row>
    <row r="216" spans="2:2" x14ac:dyDescent="0.2">
      <c r="B216" t="s">
        <v>382</v>
      </c>
    </row>
    <row r="217" spans="2:2" x14ac:dyDescent="0.2">
      <c r="B217" t="s">
        <v>383</v>
      </c>
    </row>
    <row r="218" spans="2:2" x14ac:dyDescent="0.2">
      <c r="B218" t="s">
        <v>384</v>
      </c>
    </row>
    <row r="219" spans="2:2" x14ac:dyDescent="0.2">
      <c r="B219" t="s">
        <v>385</v>
      </c>
    </row>
    <row r="220" spans="2:2" x14ac:dyDescent="0.2">
      <c r="B220" t="s">
        <v>386</v>
      </c>
    </row>
    <row r="221" spans="2:2" x14ac:dyDescent="0.2">
      <c r="B221" t="s">
        <v>387</v>
      </c>
    </row>
    <row r="222" spans="2:2" x14ac:dyDescent="0.2">
      <c r="B222" t="s">
        <v>388</v>
      </c>
    </row>
    <row r="223" spans="2:2" x14ac:dyDescent="0.2">
      <c r="B223" t="s">
        <v>389</v>
      </c>
    </row>
    <row r="224" spans="2:2" x14ac:dyDescent="0.2">
      <c r="B224" t="s">
        <v>390</v>
      </c>
    </row>
    <row r="225" spans="2:2" x14ac:dyDescent="0.2">
      <c r="B225" t="s">
        <v>391</v>
      </c>
    </row>
    <row r="226" spans="2:2" x14ac:dyDescent="0.2">
      <c r="B226" t="s">
        <v>392</v>
      </c>
    </row>
    <row r="227" spans="2:2" x14ac:dyDescent="0.2">
      <c r="B227" t="s">
        <v>393</v>
      </c>
    </row>
    <row r="228" spans="2:2" x14ac:dyDescent="0.2">
      <c r="B228" t="s">
        <v>394</v>
      </c>
    </row>
    <row r="229" spans="2:2" x14ac:dyDescent="0.2">
      <c r="B229" t="s">
        <v>395</v>
      </c>
    </row>
    <row r="230" spans="2:2" x14ac:dyDescent="0.2">
      <c r="B230" t="s">
        <v>396</v>
      </c>
    </row>
    <row r="231" spans="2:2" x14ac:dyDescent="0.2">
      <c r="B231" t="s">
        <v>397</v>
      </c>
    </row>
    <row r="232" spans="2:2" x14ac:dyDescent="0.2">
      <c r="B232" t="s">
        <v>398</v>
      </c>
    </row>
    <row r="233" spans="2:2" x14ac:dyDescent="0.2">
      <c r="B233" t="s">
        <v>399</v>
      </c>
    </row>
    <row r="234" spans="2:2" x14ac:dyDescent="0.2">
      <c r="B234" t="s">
        <v>400</v>
      </c>
    </row>
    <row r="235" spans="2:2" x14ac:dyDescent="0.2">
      <c r="B235" t="s">
        <v>401</v>
      </c>
    </row>
    <row r="236" spans="2:2" x14ac:dyDescent="0.2">
      <c r="B236" t="s">
        <v>402</v>
      </c>
    </row>
    <row r="237" spans="2:2" x14ac:dyDescent="0.2">
      <c r="B237" t="s">
        <v>147</v>
      </c>
    </row>
    <row r="238" spans="2:2" x14ac:dyDescent="0.2">
      <c r="B238" t="s">
        <v>403</v>
      </c>
    </row>
    <row r="239" spans="2:2" x14ac:dyDescent="0.2">
      <c r="B239" t="s">
        <v>404</v>
      </c>
    </row>
    <row r="240" spans="2:2" x14ac:dyDescent="0.2">
      <c r="B240" t="s">
        <v>405</v>
      </c>
    </row>
    <row r="241" spans="2:2" x14ac:dyDescent="0.2">
      <c r="B241" t="s">
        <v>406</v>
      </c>
    </row>
    <row r="242" spans="2:2" x14ac:dyDescent="0.2">
      <c r="B242" t="s">
        <v>407</v>
      </c>
    </row>
    <row r="243" spans="2:2" x14ac:dyDescent="0.2">
      <c r="B243" t="s">
        <v>408</v>
      </c>
    </row>
    <row r="244" spans="2:2" x14ac:dyDescent="0.2">
      <c r="B244" t="s">
        <v>409</v>
      </c>
    </row>
    <row r="245" spans="2:2" x14ac:dyDescent="0.2">
      <c r="B245" t="s">
        <v>410</v>
      </c>
    </row>
    <row r="246" spans="2:2" x14ac:dyDescent="0.2">
      <c r="B246" t="s">
        <v>411</v>
      </c>
    </row>
    <row r="247" spans="2:2" x14ac:dyDescent="0.2">
      <c r="B247" t="s">
        <v>412</v>
      </c>
    </row>
    <row r="248" spans="2:2" x14ac:dyDescent="0.2">
      <c r="B248" t="s">
        <v>413</v>
      </c>
    </row>
    <row r="249" spans="2:2" x14ac:dyDescent="0.2">
      <c r="B249" t="s">
        <v>414</v>
      </c>
    </row>
    <row r="250" spans="2:2" x14ac:dyDescent="0.2">
      <c r="B250" t="s">
        <v>415</v>
      </c>
    </row>
    <row r="251" spans="2:2" x14ac:dyDescent="0.2">
      <c r="B251" t="s">
        <v>416</v>
      </c>
    </row>
    <row r="252" spans="2:2" x14ac:dyDescent="0.2">
      <c r="B252" t="s">
        <v>417</v>
      </c>
    </row>
    <row r="253" spans="2:2" x14ac:dyDescent="0.2">
      <c r="B253" t="s">
        <v>418</v>
      </c>
    </row>
    <row r="254" spans="2:2" x14ac:dyDescent="0.2">
      <c r="B254" t="s">
        <v>419</v>
      </c>
    </row>
    <row r="255" spans="2:2" x14ac:dyDescent="0.2">
      <c r="B255" t="s">
        <v>420</v>
      </c>
    </row>
    <row r="256" spans="2:2" x14ac:dyDescent="0.2">
      <c r="B256" t="s">
        <v>421</v>
      </c>
    </row>
    <row r="257" spans="2:2" x14ac:dyDescent="0.2">
      <c r="B257" t="s">
        <v>422</v>
      </c>
    </row>
    <row r="258" spans="2:2" x14ac:dyDescent="0.2">
      <c r="B258" t="s">
        <v>423</v>
      </c>
    </row>
    <row r="259" spans="2:2" x14ac:dyDescent="0.2">
      <c r="B259" t="s">
        <v>424</v>
      </c>
    </row>
    <row r="260" spans="2:2" x14ac:dyDescent="0.2">
      <c r="B260" t="s">
        <v>425</v>
      </c>
    </row>
    <row r="261" spans="2:2" x14ac:dyDescent="0.2">
      <c r="B261" t="s">
        <v>426</v>
      </c>
    </row>
    <row r="262" spans="2:2" x14ac:dyDescent="0.2">
      <c r="B262" t="s">
        <v>427</v>
      </c>
    </row>
    <row r="263" spans="2:2" x14ac:dyDescent="0.2">
      <c r="B263" t="s">
        <v>428</v>
      </c>
    </row>
    <row r="264" spans="2:2" x14ac:dyDescent="0.2">
      <c r="B264" t="s">
        <v>429</v>
      </c>
    </row>
    <row r="265" spans="2:2" x14ac:dyDescent="0.2">
      <c r="B265" t="s">
        <v>430</v>
      </c>
    </row>
    <row r="266" spans="2:2" x14ac:dyDescent="0.2">
      <c r="B266" t="s">
        <v>431</v>
      </c>
    </row>
    <row r="267" spans="2:2" x14ac:dyDescent="0.2">
      <c r="B267" t="s">
        <v>432</v>
      </c>
    </row>
    <row r="268" spans="2:2" x14ac:dyDescent="0.2">
      <c r="B268" t="s">
        <v>433</v>
      </c>
    </row>
    <row r="269" spans="2:2" x14ac:dyDescent="0.2">
      <c r="B269" t="s">
        <v>434</v>
      </c>
    </row>
    <row r="270" spans="2:2" x14ac:dyDescent="0.2">
      <c r="B270" t="s">
        <v>435</v>
      </c>
    </row>
    <row r="271" spans="2:2" x14ac:dyDescent="0.2">
      <c r="B271" t="s">
        <v>436</v>
      </c>
    </row>
    <row r="272" spans="2:2" x14ac:dyDescent="0.2">
      <c r="B272" t="s">
        <v>437</v>
      </c>
    </row>
    <row r="273" spans="2:2" x14ac:dyDescent="0.2">
      <c r="B273" t="s">
        <v>438</v>
      </c>
    </row>
    <row r="274" spans="2:2" x14ac:dyDescent="0.2">
      <c r="B274" t="s">
        <v>439</v>
      </c>
    </row>
    <row r="275" spans="2:2" x14ac:dyDescent="0.2">
      <c r="B275" t="s">
        <v>440</v>
      </c>
    </row>
    <row r="276" spans="2:2" x14ac:dyDescent="0.2">
      <c r="B276" t="s">
        <v>441</v>
      </c>
    </row>
    <row r="277" spans="2:2" x14ac:dyDescent="0.2">
      <c r="B277" t="s">
        <v>442</v>
      </c>
    </row>
    <row r="278" spans="2:2" x14ac:dyDescent="0.2">
      <c r="B278" t="s">
        <v>443</v>
      </c>
    </row>
    <row r="279" spans="2:2" x14ac:dyDescent="0.2">
      <c r="B279" t="s">
        <v>444</v>
      </c>
    </row>
    <row r="280" spans="2:2" x14ac:dyDescent="0.2">
      <c r="B280" t="s">
        <v>445</v>
      </c>
    </row>
    <row r="281" spans="2:2" x14ac:dyDescent="0.2">
      <c r="B281" t="s">
        <v>446</v>
      </c>
    </row>
    <row r="282" spans="2:2" x14ac:dyDescent="0.2">
      <c r="B282" t="s">
        <v>447</v>
      </c>
    </row>
    <row r="283" spans="2:2" x14ac:dyDescent="0.2">
      <c r="B283" t="s">
        <v>448</v>
      </c>
    </row>
    <row r="284" spans="2:2" x14ac:dyDescent="0.2">
      <c r="B284" t="s">
        <v>449</v>
      </c>
    </row>
    <row r="285" spans="2:2" x14ac:dyDescent="0.2">
      <c r="B285" t="s">
        <v>450</v>
      </c>
    </row>
    <row r="286" spans="2:2" x14ac:dyDescent="0.2">
      <c r="B286" t="s">
        <v>451</v>
      </c>
    </row>
    <row r="287" spans="2:2" x14ac:dyDescent="0.2">
      <c r="B287" t="s">
        <v>452</v>
      </c>
    </row>
    <row r="288" spans="2:2" x14ac:dyDescent="0.2">
      <c r="B288" t="s">
        <v>453</v>
      </c>
    </row>
    <row r="289" spans="2:2" x14ac:dyDescent="0.2">
      <c r="B289" t="s">
        <v>454</v>
      </c>
    </row>
    <row r="290" spans="2:2" x14ac:dyDescent="0.2">
      <c r="B290" t="s">
        <v>455</v>
      </c>
    </row>
    <row r="291" spans="2:2" x14ac:dyDescent="0.2">
      <c r="B291" t="s">
        <v>456</v>
      </c>
    </row>
    <row r="292" spans="2:2" x14ac:dyDescent="0.2">
      <c r="B292" t="s">
        <v>457</v>
      </c>
    </row>
    <row r="293" spans="2:2" x14ac:dyDescent="0.2">
      <c r="B293" t="s">
        <v>458</v>
      </c>
    </row>
    <row r="294" spans="2:2" x14ac:dyDescent="0.2">
      <c r="B294" t="s">
        <v>459</v>
      </c>
    </row>
    <row r="295" spans="2:2" x14ac:dyDescent="0.2">
      <c r="B295" t="s">
        <v>460</v>
      </c>
    </row>
    <row r="296" spans="2:2" x14ac:dyDescent="0.2">
      <c r="B296" t="s">
        <v>461</v>
      </c>
    </row>
    <row r="297" spans="2:2" x14ac:dyDescent="0.2">
      <c r="B297" t="s">
        <v>462</v>
      </c>
    </row>
    <row r="298" spans="2:2" x14ac:dyDescent="0.2">
      <c r="B298" t="s">
        <v>463</v>
      </c>
    </row>
    <row r="299" spans="2:2" x14ac:dyDescent="0.2">
      <c r="B299" t="s">
        <v>464</v>
      </c>
    </row>
    <row r="300" spans="2:2" x14ac:dyDescent="0.2">
      <c r="B300" t="s">
        <v>465</v>
      </c>
    </row>
    <row r="301" spans="2:2" x14ac:dyDescent="0.2">
      <c r="B301" t="s">
        <v>466</v>
      </c>
    </row>
    <row r="302" spans="2:2" x14ac:dyDescent="0.2">
      <c r="B302" t="s">
        <v>467</v>
      </c>
    </row>
    <row r="303" spans="2:2" x14ac:dyDescent="0.2">
      <c r="B303" t="s">
        <v>468</v>
      </c>
    </row>
    <row r="304" spans="2:2" x14ac:dyDescent="0.2">
      <c r="B304" t="s">
        <v>469</v>
      </c>
    </row>
    <row r="305" spans="2:2" x14ac:dyDescent="0.2">
      <c r="B305" t="s">
        <v>470</v>
      </c>
    </row>
    <row r="306" spans="2:2" x14ac:dyDescent="0.2">
      <c r="B306" t="s">
        <v>471</v>
      </c>
    </row>
    <row r="307" spans="2:2" x14ac:dyDescent="0.2">
      <c r="B307" t="s">
        <v>472</v>
      </c>
    </row>
    <row r="308" spans="2:2" x14ac:dyDescent="0.2">
      <c r="B308" t="s">
        <v>473</v>
      </c>
    </row>
    <row r="309" spans="2:2" x14ac:dyDescent="0.2">
      <c r="B309" t="s">
        <v>474</v>
      </c>
    </row>
    <row r="310" spans="2:2" x14ac:dyDescent="0.2">
      <c r="B310" t="s">
        <v>475</v>
      </c>
    </row>
    <row r="311" spans="2:2" x14ac:dyDescent="0.2">
      <c r="B311" t="s">
        <v>476</v>
      </c>
    </row>
    <row r="312" spans="2:2" x14ac:dyDescent="0.2">
      <c r="B312" t="s">
        <v>191</v>
      </c>
    </row>
    <row r="313" spans="2:2" x14ac:dyDescent="0.2">
      <c r="B313" t="s">
        <v>477</v>
      </c>
    </row>
    <row r="314" spans="2:2" x14ac:dyDescent="0.2">
      <c r="B314" t="s">
        <v>478</v>
      </c>
    </row>
    <row r="315" spans="2:2" x14ac:dyDescent="0.2">
      <c r="B315" t="s">
        <v>479</v>
      </c>
    </row>
    <row r="316" spans="2:2" x14ac:dyDescent="0.2">
      <c r="B316" t="s">
        <v>480</v>
      </c>
    </row>
    <row r="317" spans="2:2" x14ac:dyDescent="0.2">
      <c r="B317" t="s">
        <v>481</v>
      </c>
    </row>
    <row r="318" spans="2:2" x14ac:dyDescent="0.2">
      <c r="B318" t="s">
        <v>482</v>
      </c>
    </row>
    <row r="319" spans="2:2" x14ac:dyDescent="0.2">
      <c r="B319" t="s">
        <v>483</v>
      </c>
    </row>
    <row r="320" spans="2:2" x14ac:dyDescent="0.2">
      <c r="B320" t="s">
        <v>484</v>
      </c>
    </row>
    <row r="321" spans="2:2" x14ac:dyDescent="0.2">
      <c r="B321" t="s">
        <v>485</v>
      </c>
    </row>
    <row r="322" spans="2:2" x14ac:dyDescent="0.2">
      <c r="B322" t="s">
        <v>486</v>
      </c>
    </row>
    <row r="323" spans="2:2" x14ac:dyDescent="0.2">
      <c r="B323" t="s">
        <v>487</v>
      </c>
    </row>
    <row r="324" spans="2:2" x14ac:dyDescent="0.2">
      <c r="B324" t="s">
        <v>488</v>
      </c>
    </row>
    <row r="325" spans="2:2" x14ac:dyDescent="0.2">
      <c r="B325" t="s">
        <v>489</v>
      </c>
    </row>
    <row r="326" spans="2:2" x14ac:dyDescent="0.2">
      <c r="B326" t="s">
        <v>490</v>
      </c>
    </row>
    <row r="327" spans="2:2" x14ac:dyDescent="0.2">
      <c r="B327" t="s">
        <v>491</v>
      </c>
    </row>
    <row r="328" spans="2:2" x14ac:dyDescent="0.2">
      <c r="B328" t="s">
        <v>492</v>
      </c>
    </row>
    <row r="329" spans="2:2" x14ac:dyDescent="0.2">
      <c r="B329" t="s">
        <v>493</v>
      </c>
    </row>
    <row r="330" spans="2:2" x14ac:dyDescent="0.2">
      <c r="B330" t="s">
        <v>494</v>
      </c>
    </row>
    <row r="331" spans="2:2" x14ac:dyDescent="0.2">
      <c r="B331" t="s">
        <v>495</v>
      </c>
    </row>
    <row r="332" spans="2:2" x14ac:dyDescent="0.2">
      <c r="B332" t="s">
        <v>496</v>
      </c>
    </row>
    <row r="333" spans="2:2" x14ac:dyDescent="0.2">
      <c r="B333" t="s">
        <v>497</v>
      </c>
    </row>
    <row r="334" spans="2:2" x14ac:dyDescent="0.2">
      <c r="B334" t="s">
        <v>498</v>
      </c>
    </row>
    <row r="335" spans="2:2" x14ac:dyDescent="0.2">
      <c r="B335" t="s">
        <v>499</v>
      </c>
    </row>
    <row r="336" spans="2:2" x14ac:dyDescent="0.2">
      <c r="B336" t="s">
        <v>500</v>
      </c>
    </row>
    <row r="337" spans="2:2" x14ac:dyDescent="0.2">
      <c r="B337" t="s">
        <v>501</v>
      </c>
    </row>
    <row r="338" spans="2:2" x14ac:dyDescent="0.2">
      <c r="B338" t="s">
        <v>502</v>
      </c>
    </row>
    <row r="339" spans="2:2" x14ac:dyDescent="0.2">
      <c r="B339" t="s">
        <v>503</v>
      </c>
    </row>
    <row r="340" spans="2:2" x14ac:dyDescent="0.2">
      <c r="B340" t="s">
        <v>504</v>
      </c>
    </row>
    <row r="341" spans="2:2" x14ac:dyDescent="0.2">
      <c r="B341" t="s">
        <v>505</v>
      </c>
    </row>
    <row r="342" spans="2:2" x14ac:dyDescent="0.2">
      <c r="B342" t="s">
        <v>506</v>
      </c>
    </row>
    <row r="343" spans="2:2" x14ac:dyDescent="0.2">
      <c r="B343" t="s">
        <v>507</v>
      </c>
    </row>
    <row r="344" spans="2:2" x14ac:dyDescent="0.2">
      <c r="B344" t="s">
        <v>508</v>
      </c>
    </row>
    <row r="345" spans="2:2" x14ac:dyDescent="0.2">
      <c r="B345" t="s">
        <v>509</v>
      </c>
    </row>
    <row r="346" spans="2:2" x14ac:dyDescent="0.2">
      <c r="B346" t="s">
        <v>510</v>
      </c>
    </row>
    <row r="347" spans="2:2" x14ac:dyDescent="0.2">
      <c r="B347" t="s">
        <v>511</v>
      </c>
    </row>
    <row r="348" spans="2:2" x14ac:dyDescent="0.2">
      <c r="B348" t="s">
        <v>512</v>
      </c>
    </row>
    <row r="349" spans="2:2" x14ac:dyDescent="0.2">
      <c r="B349" t="s">
        <v>513</v>
      </c>
    </row>
    <row r="350" spans="2:2" x14ac:dyDescent="0.2">
      <c r="B350" t="s">
        <v>514</v>
      </c>
    </row>
    <row r="351" spans="2:2" x14ac:dyDescent="0.2">
      <c r="B351" t="s">
        <v>515</v>
      </c>
    </row>
    <row r="352" spans="2:2" x14ac:dyDescent="0.2">
      <c r="B352" t="s">
        <v>516</v>
      </c>
    </row>
    <row r="353" spans="2:2" x14ac:dyDescent="0.2">
      <c r="B353" t="s">
        <v>517</v>
      </c>
    </row>
    <row r="354" spans="2:2" x14ac:dyDescent="0.2">
      <c r="B354" t="s">
        <v>518</v>
      </c>
    </row>
    <row r="355" spans="2:2" x14ac:dyDescent="0.2">
      <c r="B355" t="s">
        <v>519</v>
      </c>
    </row>
    <row r="356" spans="2:2" x14ac:dyDescent="0.2">
      <c r="B356" t="s">
        <v>520</v>
      </c>
    </row>
    <row r="357" spans="2:2" x14ac:dyDescent="0.2">
      <c r="B357" t="s">
        <v>521</v>
      </c>
    </row>
    <row r="358" spans="2:2" x14ac:dyDescent="0.2">
      <c r="B358" t="s">
        <v>522</v>
      </c>
    </row>
    <row r="359" spans="2:2" x14ac:dyDescent="0.2">
      <c r="B359" t="s">
        <v>523</v>
      </c>
    </row>
    <row r="360" spans="2:2" x14ac:dyDescent="0.2">
      <c r="B360" t="s">
        <v>524</v>
      </c>
    </row>
    <row r="361" spans="2:2" x14ac:dyDescent="0.2">
      <c r="B361" t="s">
        <v>525</v>
      </c>
    </row>
    <row r="362" spans="2:2" x14ac:dyDescent="0.2">
      <c r="B362" t="s">
        <v>526</v>
      </c>
    </row>
    <row r="363" spans="2:2" x14ac:dyDescent="0.2">
      <c r="B363" t="s">
        <v>527</v>
      </c>
    </row>
    <row r="364" spans="2:2" x14ac:dyDescent="0.2">
      <c r="B364" t="s">
        <v>528</v>
      </c>
    </row>
    <row r="365" spans="2:2" x14ac:dyDescent="0.2">
      <c r="B365" t="s">
        <v>529</v>
      </c>
    </row>
    <row r="366" spans="2:2" x14ac:dyDescent="0.2">
      <c r="B366" t="s">
        <v>530</v>
      </c>
    </row>
    <row r="367" spans="2:2" x14ac:dyDescent="0.2">
      <c r="B367" t="s">
        <v>531</v>
      </c>
    </row>
    <row r="368" spans="2:2" x14ac:dyDescent="0.2">
      <c r="B368" t="s">
        <v>532</v>
      </c>
    </row>
    <row r="369" spans="2:2" x14ac:dyDescent="0.2">
      <c r="B369" t="s">
        <v>533</v>
      </c>
    </row>
    <row r="370" spans="2:2" x14ac:dyDescent="0.2">
      <c r="B370" t="s">
        <v>534</v>
      </c>
    </row>
    <row r="371" spans="2:2" x14ac:dyDescent="0.2">
      <c r="B371" t="s">
        <v>535</v>
      </c>
    </row>
    <row r="372" spans="2:2" x14ac:dyDescent="0.2">
      <c r="B372" t="s">
        <v>536</v>
      </c>
    </row>
    <row r="373" spans="2:2" x14ac:dyDescent="0.2">
      <c r="B373" t="s">
        <v>537</v>
      </c>
    </row>
    <row r="374" spans="2:2" x14ac:dyDescent="0.2">
      <c r="B374" t="s">
        <v>538</v>
      </c>
    </row>
    <row r="375" spans="2:2" x14ac:dyDescent="0.2">
      <c r="B375" t="s">
        <v>539</v>
      </c>
    </row>
    <row r="376" spans="2:2" x14ac:dyDescent="0.2">
      <c r="B376" t="s">
        <v>540</v>
      </c>
    </row>
    <row r="377" spans="2:2" x14ac:dyDescent="0.2">
      <c r="B377" t="s">
        <v>541</v>
      </c>
    </row>
    <row r="378" spans="2:2" x14ac:dyDescent="0.2">
      <c r="B378" t="s">
        <v>542</v>
      </c>
    </row>
    <row r="379" spans="2:2" x14ac:dyDescent="0.2">
      <c r="B379" t="s">
        <v>543</v>
      </c>
    </row>
    <row r="380" spans="2:2" x14ac:dyDescent="0.2">
      <c r="B380" t="s">
        <v>544</v>
      </c>
    </row>
    <row r="381" spans="2:2" x14ac:dyDescent="0.2">
      <c r="B381" t="s">
        <v>545</v>
      </c>
    </row>
    <row r="382" spans="2:2" x14ac:dyDescent="0.2">
      <c r="B382" t="s">
        <v>546</v>
      </c>
    </row>
    <row r="383" spans="2:2" x14ac:dyDescent="0.2">
      <c r="B383" t="s">
        <v>547</v>
      </c>
    </row>
    <row r="384" spans="2:2" x14ac:dyDescent="0.2">
      <c r="B384" t="s">
        <v>548</v>
      </c>
    </row>
    <row r="385" spans="2:2" x14ac:dyDescent="0.2">
      <c r="B385" t="s">
        <v>549</v>
      </c>
    </row>
    <row r="386" spans="2:2" x14ac:dyDescent="0.2">
      <c r="B386" t="s">
        <v>550</v>
      </c>
    </row>
    <row r="387" spans="2:2" x14ac:dyDescent="0.2">
      <c r="B387" t="s">
        <v>551</v>
      </c>
    </row>
    <row r="388" spans="2:2" x14ac:dyDescent="0.2">
      <c r="B388" t="s">
        <v>552</v>
      </c>
    </row>
  </sheetData>
  <sheetProtection sheet="1" objects="1" scenarios="1"/>
  <pageMargins left="0.7" right="0.7" top="0.78740157499999996" bottom="0.78740157499999996" header="0.3" footer="0.3"/>
  <headerFooter>
    <oddFooter>&amp;C_x000D_&amp;1#&amp;"Calibri"&amp;10&amp;K000000 Classification: EFG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4103-1FB3-4B4D-8D6A-CEA3C0687EB6}">
  <dimension ref="A1:C42"/>
  <sheetViews>
    <sheetView workbookViewId="0">
      <selection activeCell="E3" sqref="E3"/>
    </sheetView>
  </sheetViews>
  <sheetFormatPr defaultColWidth="11.42578125" defaultRowHeight="12.75" x14ac:dyDescent="0.2"/>
  <cols>
    <col min="1" max="1" width="30.85546875" customWidth="1"/>
    <col min="2" max="2" width="50.85546875" customWidth="1"/>
    <col min="3" max="3" width="30.85546875" customWidth="1"/>
  </cols>
  <sheetData>
    <row r="1" spans="1:3" ht="18.75" x14ac:dyDescent="0.3">
      <c r="A1" s="89" t="s">
        <v>553</v>
      </c>
    </row>
    <row r="3" spans="1:3" x14ac:dyDescent="0.2">
      <c r="A3" s="24" t="s">
        <v>554</v>
      </c>
      <c r="B3" s="24" t="s">
        <v>555</v>
      </c>
      <c r="C3" s="24" t="s">
        <v>556</v>
      </c>
    </row>
    <row r="4" spans="1:3" ht="15" x14ac:dyDescent="0.25">
      <c r="A4" t="s">
        <v>19</v>
      </c>
      <c r="B4" t="s">
        <v>557</v>
      </c>
      <c r="C4" s="90" t="s">
        <v>591</v>
      </c>
    </row>
    <row r="5" spans="1:3" ht="15" x14ac:dyDescent="0.25">
      <c r="A5" t="s">
        <v>19</v>
      </c>
      <c r="B5" t="s">
        <v>558</v>
      </c>
      <c r="C5" s="90" t="s">
        <v>592</v>
      </c>
    </row>
    <row r="6" spans="1:3" ht="15" x14ac:dyDescent="0.25">
      <c r="A6" t="s">
        <v>19</v>
      </c>
      <c r="B6" t="s">
        <v>559</v>
      </c>
      <c r="C6" s="90" t="s">
        <v>593</v>
      </c>
    </row>
    <row r="7" spans="1:3" ht="15" x14ac:dyDescent="0.25">
      <c r="A7" t="s">
        <v>19</v>
      </c>
      <c r="B7" t="s">
        <v>560</v>
      </c>
      <c r="C7" s="90" t="s">
        <v>594</v>
      </c>
    </row>
    <row r="8" spans="1:3" ht="15" x14ac:dyDescent="0.25">
      <c r="A8" t="s">
        <v>19</v>
      </c>
      <c r="B8" t="s">
        <v>561</v>
      </c>
      <c r="C8" s="90" t="s">
        <v>595</v>
      </c>
    </row>
    <row r="9" spans="1:3" ht="15" x14ac:dyDescent="0.25">
      <c r="A9" t="s">
        <v>19</v>
      </c>
      <c r="B9" t="s">
        <v>562</v>
      </c>
      <c r="C9" s="90" t="s">
        <v>596</v>
      </c>
    </row>
    <row r="10" spans="1:3" ht="15" x14ac:dyDescent="0.25">
      <c r="A10" t="s">
        <v>19</v>
      </c>
      <c r="B10" t="s">
        <v>563</v>
      </c>
      <c r="C10" s="90" t="s">
        <v>597</v>
      </c>
    </row>
    <row r="11" spans="1:3" ht="15" x14ac:dyDescent="0.25">
      <c r="A11" t="s">
        <v>20</v>
      </c>
      <c r="B11" t="s">
        <v>179</v>
      </c>
      <c r="C11" s="90" t="s">
        <v>598</v>
      </c>
    </row>
    <row r="12" spans="1:3" ht="15" x14ac:dyDescent="0.25">
      <c r="A12" t="s">
        <v>20</v>
      </c>
      <c r="B12" t="s">
        <v>342</v>
      </c>
      <c r="C12" s="90" t="s">
        <v>599</v>
      </c>
    </row>
    <row r="13" spans="1:3" ht="15" x14ac:dyDescent="0.25">
      <c r="A13" t="s">
        <v>20</v>
      </c>
      <c r="B13" t="s">
        <v>564</v>
      </c>
      <c r="C13" s="90" t="s">
        <v>600</v>
      </c>
    </row>
    <row r="14" spans="1:3" ht="15" x14ac:dyDescent="0.25">
      <c r="A14" t="s">
        <v>20</v>
      </c>
      <c r="B14" t="s">
        <v>565</v>
      </c>
      <c r="C14" s="90" t="s">
        <v>601</v>
      </c>
    </row>
    <row r="15" spans="1:3" ht="15" x14ac:dyDescent="0.25">
      <c r="A15" t="s">
        <v>20</v>
      </c>
      <c r="B15" t="s">
        <v>566</v>
      </c>
      <c r="C15" s="90" t="s">
        <v>629</v>
      </c>
    </row>
    <row r="16" spans="1:3" ht="15" x14ac:dyDescent="0.25">
      <c r="A16" t="s">
        <v>20</v>
      </c>
      <c r="B16" t="s">
        <v>347</v>
      </c>
      <c r="C16" s="90" t="s">
        <v>602</v>
      </c>
    </row>
    <row r="17" spans="1:3" ht="15" x14ac:dyDescent="0.25">
      <c r="A17" t="s">
        <v>20</v>
      </c>
      <c r="B17" t="s">
        <v>89</v>
      </c>
      <c r="C17" s="90" t="s">
        <v>603</v>
      </c>
    </row>
    <row r="18" spans="1:3" ht="15" x14ac:dyDescent="0.25">
      <c r="A18" t="s">
        <v>20</v>
      </c>
      <c r="B18" t="s">
        <v>567</v>
      </c>
      <c r="C18" s="90" t="s">
        <v>604</v>
      </c>
    </row>
    <row r="19" spans="1:3" ht="15" x14ac:dyDescent="0.25">
      <c r="A19" t="s">
        <v>20</v>
      </c>
      <c r="B19" t="s">
        <v>568</v>
      </c>
      <c r="C19" s="90" t="s">
        <v>605</v>
      </c>
    </row>
    <row r="20" spans="1:3" ht="15" x14ac:dyDescent="0.25">
      <c r="A20" t="s">
        <v>20</v>
      </c>
      <c r="B20" t="s">
        <v>569</v>
      </c>
      <c r="C20" s="90" t="s">
        <v>606</v>
      </c>
    </row>
    <row r="21" spans="1:3" ht="15" x14ac:dyDescent="0.25">
      <c r="A21" t="s">
        <v>20</v>
      </c>
      <c r="B21" t="s">
        <v>570</v>
      </c>
      <c r="C21" s="90" t="s">
        <v>607</v>
      </c>
    </row>
    <row r="22" spans="1:3" ht="15" x14ac:dyDescent="0.25">
      <c r="A22" t="s">
        <v>20</v>
      </c>
      <c r="B22" t="s">
        <v>571</v>
      </c>
      <c r="C22" s="90" t="s">
        <v>608</v>
      </c>
    </row>
    <row r="23" spans="1:3" ht="15" x14ac:dyDescent="0.25">
      <c r="A23" t="s">
        <v>20</v>
      </c>
      <c r="B23" t="s">
        <v>572</v>
      </c>
      <c r="C23" s="90" t="s">
        <v>609</v>
      </c>
    </row>
    <row r="24" spans="1:3" ht="15" x14ac:dyDescent="0.25">
      <c r="A24" t="s">
        <v>20</v>
      </c>
      <c r="B24" t="s">
        <v>573</v>
      </c>
      <c r="C24" s="90" t="s">
        <v>610</v>
      </c>
    </row>
    <row r="25" spans="1:3" ht="15" x14ac:dyDescent="0.25">
      <c r="A25" t="s">
        <v>20</v>
      </c>
      <c r="B25" t="s">
        <v>574</v>
      </c>
      <c r="C25" s="90" t="s">
        <v>611</v>
      </c>
    </row>
    <row r="26" spans="1:3" ht="15" x14ac:dyDescent="0.25">
      <c r="A26" t="s">
        <v>20</v>
      </c>
      <c r="B26" t="s">
        <v>575</v>
      </c>
      <c r="C26" s="90" t="s">
        <v>612</v>
      </c>
    </row>
    <row r="27" spans="1:3" ht="15" x14ac:dyDescent="0.25">
      <c r="A27" t="s">
        <v>20</v>
      </c>
      <c r="B27" t="s">
        <v>576</v>
      </c>
      <c r="C27" s="90" t="s">
        <v>613</v>
      </c>
    </row>
    <row r="28" spans="1:3" ht="15" x14ac:dyDescent="0.25">
      <c r="A28" t="s">
        <v>20</v>
      </c>
      <c r="B28" t="s">
        <v>577</v>
      </c>
      <c r="C28" s="90" t="s">
        <v>614</v>
      </c>
    </row>
    <row r="29" spans="1:3" ht="15" x14ac:dyDescent="0.25">
      <c r="A29" t="s">
        <v>20</v>
      </c>
      <c r="B29" t="s">
        <v>578</v>
      </c>
      <c r="C29" s="90" t="s">
        <v>615</v>
      </c>
    </row>
    <row r="30" spans="1:3" ht="15" x14ac:dyDescent="0.25">
      <c r="A30" t="s">
        <v>20</v>
      </c>
      <c r="B30" t="s">
        <v>579</v>
      </c>
      <c r="C30" s="90" t="s">
        <v>616</v>
      </c>
    </row>
    <row r="31" spans="1:3" ht="15" x14ac:dyDescent="0.25">
      <c r="A31" t="s">
        <v>20</v>
      </c>
      <c r="B31" t="s">
        <v>580</v>
      </c>
      <c r="C31" s="90" t="s">
        <v>617</v>
      </c>
    </row>
    <row r="32" spans="1:3" ht="15" x14ac:dyDescent="0.25">
      <c r="A32" t="s">
        <v>20</v>
      </c>
      <c r="B32" t="s">
        <v>581</v>
      </c>
      <c r="C32" s="90" t="s">
        <v>618</v>
      </c>
    </row>
    <row r="33" spans="1:3" ht="15" x14ac:dyDescent="0.25">
      <c r="A33" t="s">
        <v>20</v>
      </c>
      <c r="B33" t="s">
        <v>582</v>
      </c>
      <c r="C33" s="90" t="s">
        <v>619</v>
      </c>
    </row>
    <row r="34" spans="1:3" ht="15" x14ac:dyDescent="0.25">
      <c r="A34" t="s">
        <v>20</v>
      </c>
      <c r="B34" t="s">
        <v>583</v>
      </c>
      <c r="C34" s="90" t="s">
        <v>620</v>
      </c>
    </row>
    <row r="35" spans="1:3" ht="15" x14ac:dyDescent="0.25">
      <c r="A35" t="s">
        <v>20</v>
      </c>
      <c r="B35" t="s">
        <v>584</v>
      </c>
      <c r="C35" s="90" t="s">
        <v>621</v>
      </c>
    </row>
    <row r="36" spans="1:3" ht="15" x14ac:dyDescent="0.25">
      <c r="A36" t="s">
        <v>20</v>
      </c>
      <c r="B36" t="s">
        <v>585</v>
      </c>
      <c r="C36" s="90" t="s">
        <v>622</v>
      </c>
    </row>
    <row r="37" spans="1:3" ht="15" x14ac:dyDescent="0.25">
      <c r="A37" t="s">
        <v>20</v>
      </c>
      <c r="B37" t="s">
        <v>586</v>
      </c>
      <c r="C37" s="90" t="s">
        <v>623</v>
      </c>
    </row>
    <row r="38" spans="1:3" ht="15" x14ac:dyDescent="0.25">
      <c r="A38" t="s">
        <v>20</v>
      </c>
      <c r="B38" t="s">
        <v>587</v>
      </c>
      <c r="C38" s="90" t="s">
        <v>624</v>
      </c>
    </row>
    <row r="39" spans="1:3" ht="15" x14ac:dyDescent="0.25">
      <c r="A39" t="s">
        <v>20</v>
      </c>
      <c r="B39" t="s">
        <v>588</v>
      </c>
      <c r="C39" s="90" t="s">
        <v>625</v>
      </c>
    </row>
    <row r="40" spans="1:3" ht="15" x14ac:dyDescent="0.25">
      <c r="A40" t="s">
        <v>20</v>
      </c>
      <c r="B40" t="s">
        <v>589</v>
      </c>
      <c r="C40" s="90" t="s">
        <v>626</v>
      </c>
    </row>
    <row r="41" spans="1:3" ht="15" x14ac:dyDescent="0.25">
      <c r="A41" t="s">
        <v>20</v>
      </c>
      <c r="B41" t="s">
        <v>590</v>
      </c>
      <c r="C41" s="90" t="s">
        <v>627</v>
      </c>
    </row>
    <row r="42" spans="1:3" ht="15" x14ac:dyDescent="0.25">
      <c r="A42" t="s">
        <v>20</v>
      </c>
      <c r="B42" t="s">
        <v>346</v>
      </c>
      <c r="C42" s="90" t="s">
        <v>628</v>
      </c>
    </row>
  </sheetData>
  <sheetProtection sheet="1" objects="1" scenarios="1"/>
  <autoFilter ref="A3:C3" xr:uid="{819A4103-1FB3-4B4D-8D6A-CEA3C0687EB6}"/>
  <hyperlinks>
    <hyperlink ref="C4" location="LER_01!D10" display="D10" xr:uid="{15924F8D-894E-40E1-A439-6A2A3D4F50B1}"/>
    <hyperlink ref="C5" location="LER_01!K26" display="K26" xr:uid="{59B9537A-B150-416D-8CBB-3E786ECABC50}"/>
    <hyperlink ref="C6" location="LER_01!K27" display="K27" xr:uid="{1DEF53FB-F12C-4302-8D37-94260633BB58}"/>
    <hyperlink ref="C7" location="LER_01!L26" display="L26" xr:uid="{F6C1E2CD-EC56-402E-8817-3E98DD32BA96}"/>
    <hyperlink ref="C8" location="LER_01!L27" display="L27" xr:uid="{A8BCA105-B0A4-41A2-81D6-65117575FC3C}"/>
    <hyperlink ref="C9" location="LER_01!M26" display="M26" xr:uid="{8F81526D-CA01-4D7C-BBB8-F43D567F0597}"/>
    <hyperlink ref="C10" location="LER_01!M27" display="M27" xr:uid="{512F5F79-5304-44BA-B421-BBC6B93FAF1F}"/>
    <hyperlink ref="C11" location="LER_02!K19:K169" display="K19:K169" xr:uid="{0C6C6DB5-50EF-4DA9-B038-1869764797B8}"/>
    <hyperlink ref="C12" location="LER_02!L19:L169" display="L19:L169" xr:uid="{49854EA6-E0A9-4DAD-8EA5-920E7696B497}"/>
    <hyperlink ref="C13" location="LER_02!M19:M169" display="M19:M169" xr:uid="{CAE17FF2-131B-41E1-9073-DDFAAA2A82C9}"/>
    <hyperlink ref="C14" location="LER_02!N19:N169" display="N19:N169" xr:uid="{2CEFDADB-213D-46C2-BF37-E809F5193676}"/>
    <hyperlink ref="C15" location="LER_02!O19:O169" display="O19:O169" xr:uid="{94A21347-A5D7-4183-A3D2-F222B6837954}"/>
    <hyperlink ref="C16" location="LER_02!P19:P169" display="P19:P169" xr:uid="{1D49C83F-47E9-42BD-B3E6-E7DDCFA43872}"/>
    <hyperlink ref="C17" location="LER_02!Q19:Q169" display="Q19:Q169" xr:uid="{D048D1C9-47EF-4994-989C-D7BB079B4C78}"/>
    <hyperlink ref="C18" location="LER_02!R19:R169" display="R19:R169" xr:uid="{CD491454-BC47-47AB-9530-464CB68DFCD0}"/>
    <hyperlink ref="C19" location="LER_02!S19:S169" display="S19:S169" xr:uid="{022264F2-0D00-4DC8-B531-658851A40A70}"/>
    <hyperlink ref="C20" location="LER_02!T19:T169" display="T19:T169" xr:uid="{B920A7CD-9729-4B6D-88A5-394AE621A133}"/>
    <hyperlink ref="C21" location="LER_02!U19:U169" display="U19:U169" xr:uid="{C3158E07-DF1B-49DB-A046-C72EFFE5B7CF}"/>
    <hyperlink ref="C22" location="LER_02!V19:V169" display="V19:V169" xr:uid="{E109A12C-5995-44A4-ABEE-5615CB4DB57F}"/>
    <hyperlink ref="C23" location="LER_02!W19:W169" display="W19:W169" xr:uid="{F81467FF-F84C-4559-8F78-28B46B837211}"/>
    <hyperlink ref="C24" location="LER_02!X19:X169" display="X19:X169" xr:uid="{F5B23FC3-5C09-46D0-BF16-1D98C9BB4A3E}"/>
    <hyperlink ref="C25" location="LER_02!Y19:Y169" display="Y19:Y169" xr:uid="{55B204FE-915C-4320-A459-20ADCCEBD707}"/>
    <hyperlink ref="C26" location="LER_02!Z19:Z169" display="Z19:Z169" xr:uid="{BC8689C0-3E55-4474-99C8-5B25FE9F7F3C}"/>
    <hyperlink ref="C27" location="LER_02!AA19:AA169" display="AA19:AA169" xr:uid="{CA5E8C76-96F2-401A-8E54-B1D8C5649C57}"/>
    <hyperlink ref="C28" location="LER_02!AB19:AB169" display="AB19:AB169" xr:uid="{25072B44-E311-43E2-A119-5B69523A60BF}"/>
    <hyperlink ref="C29" location="LER_02!AC19:AC169" display="AC19:AC169" xr:uid="{DB68CF08-4C8F-42DF-878D-C9EB67B04630}"/>
    <hyperlink ref="C30" location="LER_02!AD19:AD169" display="AD19:AD169" xr:uid="{4AD96B38-C670-45CE-91E6-63F5916C3E65}"/>
    <hyperlink ref="C31" location="LER_02!AE19:AE169" display="AE19:AE169" xr:uid="{D536A809-2F41-4F7C-88E0-883143D1D901}"/>
    <hyperlink ref="C32" location="LER_02!AF19:AF169" display="AF19:AF169" xr:uid="{C829C48B-4883-44C7-97D7-422B4FA81410}"/>
    <hyperlink ref="C33" location="LER_02!AG19:AG169" display="AG19:AG169" xr:uid="{4B4B2935-CADB-44EA-8BB0-4C19370CB95B}"/>
    <hyperlink ref="C34" location="LER_02!AH19:AH169" display="AH19:AH169" xr:uid="{66039D0F-2719-4285-9229-952C2915B8E0}"/>
    <hyperlink ref="C35" location="LER_02!AI19:AI169" display="AI19:AI169" xr:uid="{43443ACF-AC3C-4B47-A6EC-8B86C7C622F8}"/>
    <hyperlink ref="C36" location="LER_02!AJ19:AJ169" display="AJ19:AJ169" xr:uid="{5C85BC98-8875-485D-A178-0335F90756F3}"/>
    <hyperlink ref="C37" location="LER_02!AK19:AK169" display="AK19:AK169" xr:uid="{F74F690C-564C-45D4-B89F-99FE60EDBA65}"/>
    <hyperlink ref="C38" location="LER_02!AL19:AL169" display="Al19:Al169" xr:uid="{9132374F-E47D-4C5D-9FE6-FE112B5E43FC}"/>
    <hyperlink ref="C39" location="LER_02!AM19:AM169" display="AM19:AM169" xr:uid="{B3DACC13-7B7D-4D94-9FC7-27655E04F348}"/>
    <hyperlink ref="C40" location="LER_02!AN19:AN169" display="AN19:AN169" xr:uid="{52902678-C985-4C7C-AAC7-4DB239C67DE7}"/>
    <hyperlink ref="C41" location="LER_02!AO19:AO169" display="AO19:AO169" xr:uid="{67246417-E73F-42C0-BE19-EC0814E58ED6}"/>
    <hyperlink ref="C42" location="LER_02!AP19:AP169" display="AP19:AP169" xr:uid="{66A57B7E-E1C1-4A43-A2EF-7BD5CA1BB14C}"/>
  </hyperlinks>
  <pageMargins left="0.7" right="0.7" top="0.78740157499999996" bottom="0.78740157499999996" header="0.3" footer="0.3"/>
  <headerFooter>
    <oddFooter>&amp;C_x000D_&amp;1#&amp;"Calibri"&amp;10&amp;K000000 Classification: EFG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CA67BD-1C98-4308-97C3-35B38E1EFED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c7290e4-c040-4dca-bb3e-8519c982a5bf}" enabled="1" method="Standard" siteId="{68ec88f8-6ac8-41ff-b68b-1432050782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Delivery Note</vt:lpstr>
      <vt:lpstr>LER_01</vt:lpstr>
      <vt:lpstr>LER_02</vt:lpstr>
      <vt:lpstr>Values</vt:lpstr>
      <vt:lpstr>Mapping</vt:lpstr>
      <vt:lpstr>Counterparty_type</vt:lpstr>
      <vt:lpstr>Country</vt:lpstr>
      <vt:lpstr>Ind_CP_GCP</vt:lpstr>
      <vt:lpstr>Konsi_Errors</vt:lpstr>
      <vt:lpstr>Konsi_Errors_01</vt:lpstr>
      <vt:lpstr>Konsi_Warnings</vt:lpstr>
      <vt:lpstr>NOGA_Codes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Morrone Bianca</dc:creator>
  <cp:lastModifiedBy>SALLE VITHOURETH, Joris</cp:lastModifiedBy>
  <dcterms:created xsi:type="dcterms:W3CDTF">2025-07-23T11:31:32Z</dcterms:created>
  <dcterms:modified xsi:type="dcterms:W3CDTF">2026-09-07T20:57:41Z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